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CrestAwardProg\xlxsforana\"/>
    </mc:Choice>
  </mc:AlternateContent>
  <xr:revisionPtr revIDLastSave="0" documentId="13_ncr:1_{0C7AA835-5883-407B-82DB-F0C83BB62BD7}" xr6:coauthVersionLast="47" xr6:coauthVersionMax="47" xr10:uidLastSave="{00000000-0000-0000-0000-000000000000}"/>
  <bookViews>
    <workbookView xWindow="-110" yWindow="-110" windowWidth="25820" windowHeight="14620" xr2:uid="{7F987B44-700E-4C69-919F-273B6B79411E}"/>
  </bookViews>
  <sheets>
    <sheet name="areeb_test1_2024-06-20_11h04.57" sheetId="1" r:id="rId1"/>
  </sheets>
  <calcPr calcId="181029"/>
</workbook>
</file>

<file path=xl/calcChain.xml><?xml version="1.0" encoding="utf-8"?>
<calcChain xmlns="http://schemas.openxmlformats.org/spreadsheetml/2006/main">
  <c r="AZ11" i="1" l="1"/>
  <c r="AS10" i="1"/>
  <c r="AL9" i="1"/>
  <c r="KK48" i="1"/>
  <c r="KR49" i="1"/>
  <c r="PU68" i="1"/>
  <c r="PN67" i="1"/>
  <c r="PG66" i="1"/>
  <c r="OZ65" i="1"/>
  <c r="OS64" i="1"/>
  <c r="OE62" i="1"/>
  <c r="OL63" i="1"/>
  <c r="NX61" i="1"/>
  <c r="NQ60" i="1"/>
  <c r="NC58" i="1"/>
  <c r="NJ59" i="1"/>
  <c r="MV57" i="1"/>
  <c r="MO56" i="1"/>
  <c r="MH55" i="1"/>
  <c r="LT53" i="1"/>
  <c r="MA54" i="1"/>
  <c r="LM52" i="1"/>
  <c r="LF51" i="1"/>
  <c r="KY50" i="1"/>
  <c r="KD47" i="1"/>
  <c r="JW46" i="1"/>
  <c r="JP45" i="1"/>
  <c r="JI44" i="1"/>
  <c r="JB43" i="1"/>
  <c r="JB42" i="1"/>
  <c r="JB41" i="1"/>
  <c r="IU40" i="1"/>
  <c r="IN39" i="1"/>
  <c r="IG38" i="1"/>
  <c r="HZ37" i="1"/>
  <c r="HS36" i="1"/>
  <c r="HL35" i="1"/>
  <c r="HE34" i="1"/>
  <c r="GX33" i="1"/>
  <c r="GQ32" i="1"/>
  <c r="GJ31" i="1"/>
  <c r="GC30" i="1"/>
  <c r="FV29" i="1"/>
  <c r="FO28" i="1"/>
  <c r="FH27" i="1"/>
  <c r="FA26" i="1"/>
  <c r="ET25" i="1"/>
  <c r="EF23" i="1"/>
  <c r="DR21" i="1"/>
  <c r="DY22" i="1"/>
  <c r="DK20" i="1"/>
  <c r="DD19" i="1"/>
  <c r="CW18" i="1"/>
  <c r="CP17" i="1"/>
  <c r="CI16" i="1"/>
  <c r="CB15" i="1"/>
  <c r="BU14" i="1"/>
  <c r="BN13" i="1"/>
  <c r="BG12" i="1"/>
</calcChain>
</file>

<file path=xl/sharedStrings.xml><?xml version="1.0" encoding="utf-8"?>
<sst xmlns="http://schemas.openxmlformats.org/spreadsheetml/2006/main" count="923" uniqueCount="453">
  <si>
    <t>testloop.thisRepN</t>
  </si>
  <si>
    <t>testloop.thisTrialN</t>
  </si>
  <si>
    <t>testloop.thisN</t>
  </si>
  <si>
    <t>testloop.thisIndex</t>
  </si>
  <si>
    <t>audiotestloop.thisRepN</t>
  </si>
  <si>
    <t>audiotestloop.thisTrialN</t>
  </si>
  <si>
    <t>audiotestloop.thisN</t>
  </si>
  <si>
    <t>audiotestloop.thisIndex</t>
  </si>
  <si>
    <t>thisRow.t</t>
  </si>
  <si>
    <t>notes</t>
  </si>
  <si>
    <t>intro.started</t>
  </si>
  <si>
    <t>text.started</t>
  </si>
  <si>
    <t>res_intro.started</t>
  </si>
  <si>
    <t>intro.stopped</t>
  </si>
  <si>
    <t>res_intro.keys</t>
  </si>
  <si>
    <t>res_intro.rt</t>
  </si>
  <si>
    <t>res_intro.duration</t>
  </si>
  <si>
    <t>howitworks.started</t>
  </si>
  <si>
    <t>text_howitworks.started</t>
  </si>
  <si>
    <t>endhowitworks.started</t>
  </si>
  <si>
    <t>howitworks.stopped</t>
  </si>
  <si>
    <t>endhowitworks.keys</t>
  </si>
  <si>
    <t>endhowitworks.rt</t>
  </si>
  <si>
    <t>endhowitworks.duration</t>
  </si>
  <si>
    <t>test.started</t>
  </si>
  <si>
    <t>testpolygon.started</t>
  </si>
  <si>
    <t>key_resp.started</t>
  </si>
  <si>
    <t>test.stopped</t>
  </si>
  <si>
    <t>key_resp.keys</t>
  </si>
  <si>
    <t>key_resp.rt</t>
  </si>
  <si>
    <t>key_resp.duration</t>
  </si>
  <si>
    <t>test_passed.started</t>
  </si>
  <si>
    <t>text_3.started</t>
  </si>
  <si>
    <t>key_resp_2.started</t>
  </si>
  <si>
    <t>test_passed.stopped</t>
  </si>
  <si>
    <t>key_resp_2.keys</t>
  </si>
  <si>
    <t>key_resp_2.rt</t>
  </si>
  <si>
    <t>key_resp_2.duration</t>
  </si>
  <si>
    <t>red0_5.started</t>
  </si>
  <si>
    <t>res_red_0_5.started</t>
  </si>
  <si>
    <t>polygon_red_0_5.started</t>
  </si>
  <si>
    <t>red0_5.stopped</t>
  </si>
  <si>
    <t>res_red_0_5.keys</t>
  </si>
  <si>
    <t>res_red_0_5.rt</t>
  </si>
  <si>
    <t>res_red_0_5.duration</t>
  </si>
  <si>
    <t>red0_625.started</t>
  </si>
  <si>
    <t>polygon_red_0_625.started</t>
  </si>
  <si>
    <t>res_red_0_625.started</t>
  </si>
  <si>
    <t>red0_625.stopped</t>
  </si>
  <si>
    <t>res_red_0_625.keys</t>
  </si>
  <si>
    <t>res_red_0_625.rt</t>
  </si>
  <si>
    <t>res_red_0_625.duration</t>
  </si>
  <si>
    <t>red0_75.started</t>
  </si>
  <si>
    <t>polygon_red_0_75.started</t>
  </si>
  <si>
    <t>res_red_0_75.started</t>
  </si>
  <si>
    <t>red0_75.stopped</t>
  </si>
  <si>
    <t>res_red_0_75.keys</t>
  </si>
  <si>
    <t>res_red_0_75.rt</t>
  </si>
  <si>
    <t>res_red_0_75.duration</t>
  </si>
  <si>
    <t>red0_875.started</t>
  </si>
  <si>
    <t>polygon_red_0_875.started</t>
  </si>
  <si>
    <t>res_red_0_875.started</t>
  </si>
  <si>
    <t>red0_875.stopped</t>
  </si>
  <si>
    <t>res_red_0_875.keys</t>
  </si>
  <si>
    <t>res_red_0_875.rt</t>
  </si>
  <si>
    <t>res_red_0_875.duration</t>
  </si>
  <si>
    <t>red1.started</t>
  </si>
  <si>
    <t>polygon_red_1.started</t>
  </si>
  <si>
    <t>res_red_1.started</t>
  </si>
  <si>
    <t>red1.stopped</t>
  </si>
  <si>
    <t>res_red_1.keys</t>
  </si>
  <si>
    <t>res_red_1.rt</t>
  </si>
  <si>
    <t>res_red_1.duration</t>
  </si>
  <si>
    <t>yellow0_5.started</t>
  </si>
  <si>
    <t>polygon_0_5.started</t>
  </si>
  <si>
    <t>res_yellow_0_5.started</t>
  </si>
  <si>
    <t>yellow0_5.stopped</t>
  </si>
  <si>
    <t>res_yellow_0_5.keys</t>
  </si>
  <si>
    <t>res_yellow_0_5.rt</t>
  </si>
  <si>
    <t>res_yellow_0_5.duration</t>
  </si>
  <si>
    <t>yellow0_625.started</t>
  </si>
  <si>
    <t>polygon_yellow_0_625.started</t>
  </si>
  <si>
    <t>res_yellow_0_625.started</t>
  </si>
  <si>
    <t>yellow0_625.stopped</t>
  </si>
  <si>
    <t>res_yellow_0_625.keys</t>
  </si>
  <si>
    <t>res_yellow_0_625.rt</t>
  </si>
  <si>
    <t>res_yellow_0_625.duration</t>
  </si>
  <si>
    <t>yellow0_75.started</t>
  </si>
  <si>
    <t>polygon_yellow_0_75.started</t>
  </si>
  <si>
    <t>res_yellow_0_75.started</t>
  </si>
  <si>
    <t>yellow0_75.stopped</t>
  </si>
  <si>
    <t>res_yellow_0_75.keys</t>
  </si>
  <si>
    <t>res_yellow_0_75.rt</t>
  </si>
  <si>
    <t>res_yellow_0_75.duration</t>
  </si>
  <si>
    <t>yellow0_875.started</t>
  </si>
  <si>
    <t>polygon_yellow_0_875.started</t>
  </si>
  <si>
    <t>res_yellow_0_875.started</t>
  </si>
  <si>
    <t>yellow0_875.stopped</t>
  </si>
  <si>
    <t>res_yellow_0_875.keys</t>
  </si>
  <si>
    <t>res_yellow_0_875.rt</t>
  </si>
  <si>
    <t>res_yellow_0_875.duration</t>
  </si>
  <si>
    <t>yellow1.started</t>
  </si>
  <si>
    <t>polygon_yellow_1.started</t>
  </si>
  <si>
    <t>res_yellow_1.started</t>
  </si>
  <si>
    <t>yellow1.stopped</t>
  </si>
  <si>
    <t>res_yellow_1.keys</t>
  </si>
  <si>
    <t>res_yellow_1.rt</t>
  </si>
  <si>
    <t>res_yellow_1.duration</t>
  </si>
  <si>
    <t>blue0_5.started</t>
  </si>
  <si>
    <t>polygon_blue_0_5.started</t>
  </si>
  <si>
    <t>res_blue_0_5.started</t>
  </si>
  <si>
    <t>blue0_5.stopped</t>
  </si>
  <si>
    <t>res_blue_0_5.keys</t>
  </si>
  <si>
    <t>res_blue_0_5.rt</t>
  </si>
  <si>
    <t>res_blue_0_5.duration</t>
  </si>
  <si>
    <t>blue0_625.started</t>
  </si>
  <si>
    <t>polygon_blue_0_625.started</t>
  </si>
  <si>
    <t>res_blue_0_625.started</t>
  </si>
  <si>
    <t>blue0_625.stopped</t>
  </si>
  <si>
    <t>res_blue_0_625.keys</t>
  </si>
  <si>
    <t>res_blue_0_625.rt</t>
  </si>
  <si>
    <t>res_blue_0_625.duration</t>
  </si>
  <si>
    <t>blue0_75.started</t>
  </si>
  <si>
    <t>polygon_blue_0_75.started</t>
  </si>
  <si>
    <t>res_blue_0_75.started</t>
  </si>
  <si>
    <t>blue0_75.stopped</t>
  </si>
  <si>
    <t>res_blue_0_75.keys</t>
  </si>
  <si>
    <t>res_blue_0_75.rt</t>
  </si>
  <si>
    <t>res_blue_0_75.duration</t>
  </si>
  <si>
    <t>blue0_875.started</t>
  </si>
  <si>
    <t>polygon_blue_0_875.started</t>
  </si>
  <si>
    <t>res_blue_0_875.started</t>
  </si>
  <si>
    <t>blue0_875.stopped</t>
  </si>
  <si>
    <t>res_blue_0_875.keys</t>
  </si>
  <si>
    <t>res_blue_0_875.rt</t>
  </si>
  <si>
    <t>res_blue_0_875.duration</t>
  </si>
  <si>
    <t>blue1.started</t>
  </si>
  <si>
    <t>polygon_blue_1.started</t>
  </si>
  <si>
    <t>res_blue_1.started</t>
  </si>
  <si>
    <t>blue1.stopped</t>
  </si>
  <si>
    <t>res_blue_1.keys</t>
  </si>
  <si>
    <t>res_blue_1.rt</t>
  </si>
  <si>
    <t>res_blue_1.duration</t>
  </si>
  <si>
    <t>green0_5.started</t>
  </si>
  <si>
    <t>polygon_green_0_5.started</t>
  </si>
  <si>
    <t>res_green_0_5.started</t>
  </si>
  <si>
    <t>green0_5.stopped</t>
  </si>
  <si>
    <t>res_green_0_5.keys</t>
  </si>
  <si>
    <t>res_green_0_5.rt</t>
  </si>
  <si>
    <t>res_green_0_5.duration</t>
  </si>
  <si>
    <t>green0_625.started</t>
  </si>
  <si>
    <t>polygon_green_0_625.started</t>
  </si>
  <si>
    <t>res_green_0_625.started</t>
  </si>
  <si>
    <t>green0_625.stopped</t>
  </si>
  <si>
    <t>res_green_0_625.keys</t>
  </si>
  <si>
    <t>res_green_0_625.rt</t>
  </si>
  <si>
    <t>res_green_0_625.duration</t>
  </si>
  <si>
    <t>green0_75.started</t>
  </si>
  <si>
    <t>polygon_green_0_75.started</t>
  </si>
  <si>
    <t>res_green_0_75.started</t>
  </si>
  <si>
    <t>green0_75.stopped</t>
  </si>
  <si>
    <t>res_green_0_75.keys</t>
  </si>
  <si>
    <t>res_green_0_75.rt</t>
  </si>
  <si>
    <t>res_green_0_75.duration</t>
  </si>
  <si>
    <t>green0_875.started</t>
  </si>
  <si>
    <t>polygon_green_0_875.started</t>
  </si>
  <si>
    <t>res_green_0_875.started</t>
  </si>
  <si>
    <t>green0_875.stopped</t>
  </si>
  <si>
    <t>res_green_0_875.keys</t>
  </si>
  <si>
    <t>res_green_0_875.rt</t>
  </si>
  <si>
    <t>res_green_0_875.duration</t>
  </si>
  <si>
    <t>green1.started</t>
  </si>
  <si>
    <t>polygon_green_1.started</t>
  </si>
  <si>
    <t>res_green_1.started</t>
  </si>
  <si>
    <t>green1.stopped</t>
  </si>
  <si>
    <t>res_green_1.keys</t>
  </si>
  <si>
    <t>res_green_1.rt</t>
  </si>
  <si>
    <t>res_green_1.duration</t>
  </si>
  <si>
    <t>purple0_5.started</t>
  </si>
  <si>
    <t>polygon_purple_0_5.started</t>
  </si>
  <si>
    <t>res_purple_0_5.started</t>
  </si>
  <si>
    <t>purple0_5.stopped</t>
  </si>
  <si>
    <t>res_purple_0_5.keys</t>
  </si>
  <si>
    <t>res_purple_0_5.rt</t>
  </si>
  <si>
    <t>res_purple_0_5.duration</t>
  </si>
  <si>
    <t>purple0_625.started</t>
  </si>
  <si>
    <t>polygon_purple_0_625.started</t>
  </si>
  <si>
    <t>res_purple_0_625.started</t>
  </si>
  <si>
    <t>purple0_625.stopped</t>
  </si>
  <si>
    <t>res_purple_0_625.keys</t>
  </si>
  <si>
    <t>res_purple_0_625.rt</t>
  </si>
  <si>
    <t>res_purple_0_625.duration</t>
  </si>
  <si>
    <t>purple0_75.started</t>
  </si>
  <si>
    <t>polygon_purple_0_75.started</t>
  </si>
  <si>
    <t>res_purple_0_75.started</t>
  </si>
  <si>
    <t>purple0_75.stopped</t>
  </si>
  <si>
    <t>res_purple_0_75.keys</t>
  </si>
  <si>
    <t>res_purple_0_75.rt</t>
  </si>
  <si>
    <t>res_purple_0_75.duration</t>
  </si>
  <si>
    <t>purple0_875.started</t>
  </si>
  <si>
    <t>polygon_purple_0_875.started</t>
  </si>
  <si>
    <t>res_purple_0_875.started</t>
  </si>
  <si>
    <t>purple0_875.stopped</t>
  </si>
  <si>
    <t>res_purple_0_875.keys</t>
  </si>
  <si>
    <t>res_purple_0_875.rt</t>
  </si>
  <si>
    <t>res_purple_0_875.duration</t>
  </si>
  <si>
    <t>purple1.started</t>
  </si>
  <si>
    <t>polygon_purple_1.started</t>
  </si>
  <si>
    <t>res_purple_1.started</t>
  </si>
  <si>
    <t>purple1.stopped</t>
  </si>
  <si>
    <t>res_purple_1.keys</t>
  </si>
  <si>
    <t>res_purple_1.rt</t>
  </si>
  <si>
    <t>res_purple_1.duration</t>
  </si>
  <si>
    <t>orange0_5.started</t>
  </si>
  <si>
    <t>polygon_orange_0_5.started</t>
  </si>
  <si>
    <t>res_orange_0_5.started</t>
  </si>
  <si>
    <t>orange0_5.stopped</t>
  </si>
  <si>
    <t>res_orange_0_5.keys</t>
  </si>
  <si>
    <t>res_orange_0_5.rt</t>
  </si>
  <si>
    <t>res_orange_0_5.duration</t>
  </si>
  <si>
    <t>orange0_625.started</t>
  </si>
  <si>
    <t>polygon_orange_0_625.started</t>
  </si>
  <si>
    <t>res_orange_0_625.started</t>
  </si>
  <si>
    <t>orange0_625.stopped</t>
  </si>
  <si>
    <t>res_orange_0_625.keys</t>
  </si>
  <si>
    <t>res_orange_0_625.rt</t>
  </si>
  <si>
    <t>res_orange_0_625.duration</t>
  </si>
  <si>
    <t>orange0_75.started</t>
  </si>
  <si>
    <t>polygon_orange_0_75.started</t>
  </si>
  <si>
    <t>res_orange_0_75.started</t>
  </si>
  <si>
    <t>orange0_75.stopped</t>
  </si>
  <si>
    <t>res_orange_0_75.keys</t>
  </si>
  <si>
    <t>res_orange_0_75.rt</t>
  </si>
  <si>
    <t>res_orange_0_75.duration</t>
  </si>
  <si>
    <t>orange0_875.started</t>
  </si>
  <si>
    <t>polygon_res_0_875.started</t>
  </si>
  <si>
    <t>res_orange_0_875.started</t>
  </si>
  <si>
    <t>orange0_875.stopped</t>
  </si>
  <si>
    <t>res_orange_0_875.keys</t>
  </si>
  <si>
    <t>res_orange_0_875.rt</t>
  </si>
  <si>
    <t>res_orange_0_875.duration</t>
  </si>
  <si>
    <t>orange1.started</t>
  </si>
  <si>
    <t>polygon_orange_1.started</t>
  </si>
  <si>
    <t>res_orange_1.started</t>
  </si>
  <si>
    <t>orange1.stopped</t>
  </si>
  <si>
    <t>res_orange_1.keys</t>
  </si>
  <si>
    <t>res_orange_1.rt</t>
  </si>
  <si>
    <t>res_orange_1.duration</t>
  </si>
  <si>
    <t>audiointro.started</t>
  </si>
  <si>
    <t>audiotext.started</t>
  </si>
  <si>
    <t>audiointro_res.started</t>
  </si>
  <si>
    <t>audiointro.stopped</t>
  </si>
  <si>
    <t>audiointro_res.keys</t>
  </si>
  <si>
    <t>audiointro_res.rt</t>
  </si>
  <si>
    <t>audiointro_res.duration</t>
  </si>
  <si>
    <t>audiotest.started</t>
  </si>
  <si>
    <t>sound_testrun.started</t>
  </si>
  <si>
    <t>res_audio_testrun.started</t>
  </si>
  <si>
    <t>audiotest.stopped</t>
  </si>
  <si>
    <t>res_audio_testrun.keys</t>
  </si>
  <si>
    <t>res_audio_testrun.rt</t>
  </si>
  <si>
    <t>res_audio_testrun.duration</t>
  </si>
  <si>
    <t>audiotestpassed.started</t>
  </si>
  <si>
    <t>autest_passed.started</t>
  </si>
  <si>
    <t>res_testpassed.started</t>
  </si>
  <si>
    <t>audiotestpassed.stopped</t>
  </si>
  <si>
    <t>res_testpassed.keys</t>
  </si>
  <si>
    <t>res_testpassed.rt</t>
  </si>
  <si>
    <t>res_testpassed.duration</t>
  </si>
  <si>
    <t>audio_500Hz_0_25.started</t>
  </si>
  <si>
    <t>sound_500Hz_0_25.started</t>
  </si>
  <si>
    <t>res_500Hz_0_25.started</t>
  </si>
  <si>
    <t>audio_500Hz_0_25.stopped</t>
  </si>
  <si>
    <t>res_500Hz_0_25.keys</t>
  </si>
  <si>
    <t>res_500Hz_0_25.rt</t>
  </si>
  <si>
    <t>res_500Hz_0_25.duration</t>
  </si>
  <si>
    <t>audio_500Hz_0_5.started</t>
  </si>
  <si>
    <t>sound_500Hz_0_5.started</t>
  </si>
  <si>
    <t>res_500Hz_0_5.started</t>
  </si>
  <si>
    <t>audio_500Hz_0_5.stopped</t>
  </si>
  <si>
    <t>res_500Hz_0_5.keys</t>
  </si>
  <si>
    <t>res_500Hz_0_5.rt</t>
  </si>
  <si>
    <t>res_500Hz_0_5.duration</t>
  </si>
  <si>
    <t>audio_500Hz_0_75.started</t>
  </si>
  <si>
    <t>sound_500Hz_0_75.started</t>
  </si>
  <si>
    <t>res_500Hz_0_75.started</t>
  </si>
  <si>
    <t>audio_500Hz_0_75.stopped</t>
  </si>
  <si>
    <t>res_500Hz_0_75.keys</t>
  </si>
  <si>
    <t>res_500Hz_0_75.rt</t>
  </si>
  <si>
    <t>res_500Hz_0_75.duration</t>
  </si>
  <si>
    <t>audio_500Hz_1.started</t>
  </si>
  <si>
    <t>sound_500Hz.started</t>
  </si>
  <si>
    <t>res_500Hz.started</t>
  </si>
  <si>
    <t>audio_500Hz_1.stopped</t>
  </si>
  <si>
    <t>res_500Hz.keys</t>
  </si>
  <si>
    <t>res_500Hz.rt</t>
  </si>
  <si>
    <t>res_500Hz.duration</t>
  </si>
  <si>
    <t>audio_2500Hz_0_25.started</t>
  </si>
  <si>
    <t>sound_2500Hz_0_25.started</t>
  </si>
  <si>
    <t>res_2500Hz_0_25.started</t>
  </si>
  <si>
    <t>audio_2500Hz_0_25.stopped</t>
  </si>
  <si>
    <t>res_2500Hz_0_25.keys</t>
  </si>
  <si>
    <t>res_2500Hz_0_25.rt</t>
  </si>
  <si>
    <t>res_2500Hz_0_25.duration</t>
  </si>
  <si>
    <t>audio_2500Hz_0_5.started</t>
  </si>
  <si>
    <t>sound_2500Hz_0_5.started</t>
  </si>
  <si>
    <t>res_2500Hz_0_5.started</t>
  </si>
  <si>
    <t>audio_2500Hz_0_5.stopped</t>
  </si>
  <si>
    <t>res_2500Hz_0_5.keys</t>
  </si>
  <si>
    <t>res_2500Hz_0_5.rt</t>
  </si>
  <si>
    <t>res_2500Hz_0_5.duration</t>
  </si>
  <si>
    <t>audio_2500Hz_0_75.started</t>
  </si>
  <si>
    <t>sound_2500Hz_0_75.started</t>
  </si>
  <si>
    <t>res_2500Hz_0_75.started</t>
  </si>
  <si>
    <t>audio_2500Hz_0_75.stopped</t>
  </si>
  <si>
    <t>res_2500Hz_0_75.keys</t>
  </si>
  <si>
    <t>res_2500Hz_0_75.rt</t>
  </si>
  <si>
    <t>res_2500Hz_0_75.duration</t>
  </si>
  <si>
    <t>audio_2500Hz.started</t>
  </si>
  <si>
    <t>sound_2500Hz.started</t>
  </si>
  <si>
    <t>res_2500Hz.started</t>
  </si>
  <si>
    <t>audio_2500Hz.stopped</t>
  </si>
  <si>
    <t>res_2500Hz.keys</t>
  </si>
  <si>
    <t>res_2500Hz.rt</t>
  </si>
  <si>
    <t>res_2500Hz.duration</t>
  </si>
  <si>
    <t>audio_5000Hz_0_25.started</t>
  </si>
  <si>
    <t>sound_5000Hz_0_25.started</t>
  </si>
  <si>
    <t>res_5000Hz_0_25.started</t>
  </si>
  <si>
    <t>audio_5000Hz_0_25.stopped</t>
  </si>
  <si>
    <t>res_5000Hz_0_25.keys</t>
  </si>
  <si>
    <t>res_5000Hz_0_25.rt</t>
  </si>
  <si>
    <t>res_5000Hz_0_25.duration</t>
  </si>
  <si>
    <t>audio_5000Hz_0_5.started</t>
  </si>
  <si>
    <t>sound_5000Hz_0_5.started</t>
  </si>
  <si>
    <t>res_5000Hz_0_5.started</t>
  </si>
  <si>
    <t>audio_5000Hz_0_5.stopped</t>
  </si>
  <si>
    <t>res_5000Hz_0_5.keys</t>
  </si>
  <si>
    <t>res_5000Hz_0_5.rt</t>
  </si>
  <si>
    <t>res_5000Hz_0_5.duration</t>
  </si>
  <si>
    <t>audio_5000Hz_0_75.started</t>
  </si>
  <si>
    <t>sound_5000Hz_0_75.started</t>
  </si>
  <si>
    <t>res_5000Hz_0_75.started</t>
  </si>
  <si>
    <t>audio_5000Hz_0_75.stopped</t>
  </si>
  <si>
    <t>res_5000Hz_0_75.keys</t>
  </si>
  <si>
    <t>res_5000Hz_0_75.rt</t>
  </si>
  <si>
    <t>res_5000Hz_0_75.duration</t>
  </si>
  <si>
    <t>audio_5000Hz.started</t>
  </si>
  <si>
    <t>sound_5000Hz.started</t>
  </si>
  <si>
    <t>res_5000Hz.started</t>
  </si>
  <si>
    <t>audio_5000Hz.stopped</t>
  </si>
  <si>
    <t>res_5000Hz.keys</t>
  </si>
  <si>
    <t>res_5000Hz.rt</t>
  </si>
  <si>
    <t>res_5000Hz.duration</t>
  </si>
  <si>
    <t>audio_7500Hz_0_25.started</t>
  </si>
  <si>
    <t>sound_7500Hz_0_25.started</t>
  </si>
  <si>
    <t>res_7500Hz_0_25.started</t>
  </si>
  <si>
    <t>audio_7500Hz_0_25.stopped</t>
  </si>
  <si>
    <t>res_7500Hz_0_25.keys</t>
  </si>
  <si>
    <t>res_7500Hz_0_25.rt</t>
  </si>
  <si>
    <t>res_7500Hz_0_25.duration</t>
  </si>
  <si>
    <t>audio_7500Hz_0_5.started</t>
  </si>
  <si>
    <t>sound_7500Hz_0_5.started</t>
  </si>
  <si>
    <t>res_7500Hz_0_5.started</t>
  </si>
  <si>
    <t>audio_7500Hz_0_5.stopped</t>
  </si>
  <si>
    <t>res_7500Hz_0_5.keys</t>
  </si>
  <si>
    <t>res_7500Hz_0_5.rt</t>
  </si>
  <si>
    <t>res_7500Hz_0_5.duration</t>
  </si>
  <si>
    <t>audio_7500Hz_0_75.started</t>
  </si>
  <si>
    <t>sound_7500Hz_0_75.started</t>
  </si>
  <si>
    <t>res_7500Hz_0_75.started</t>
  </si>
  <si>
    <t>audio_7500Hz_0_75.stopped</t>
  </si>
  <si>
    <t>res_7500Hz_0_75.keys</t>
  </si>
  <si>
    <t>res_7500Hz_0_75.rt</t>
  </si>
  <si>
    <t>res_7500Hz_0_75.duration</t>
  </si>
  <si>
    <t>audio_7500Hz.started</t>
  </si>
  <si>
    <t>sound_7500Hz.started</t>
  </si>
  <si>
    <t>res_7500Hz.started</t>
  </si>
  <si>
    <t>audio_7500Hz.stopped</t>
  </si>
  <si>
    <t>res_7500Hz.keys</t>
  </si>
  <si>
    <t>res_7500Hz.rt</t>
  </si>
  <si>
    <t>res_7500Hz.duration</t>
  </si>
  <si>
    <t>audio_10000Hz_0_25.started</t>
  </si>
  <si>
    <t>sound_10000Hz_0_25.started</t>
  </si>
  <si>
    <t>res_10000Hz_0_25.started</t>
  </si>
  <si>
    <t>audio_10000Hz_0_25.stopped</t>
  </si>
  <si>
    <t>res_10000Hz_0_25.keys</t>
  </si>
  <si>
    <t>res_10000Hz_0_25.rt</t>
  </si>
  <si>
    <t>res_10000Hz_0_25.duration</t>
  </si>
  <si>
    <t>audio_10000Hz_0_5.started</t>
  </si>
  <si>
    <t>sound_10000Hz_0_5.started</t>
  </si>
  <si>
    <t>res_10000Hz_0_5.started</t>
  </si>
  <si>
    <t>audio_10000Hz_0_5.stopped</t>
  </si>
  <si>
    <t>res_10000Hz_0_5.keys</t>
  </si>
  <si>
    <t>res_10000Hz_0_5.rt</t>
  </si>
  <si>
    <t>res_10000Hz_0_5.duration</t>
  </si>
  <si>
    <t>audio_10000Hz_0_75.started</t>
  </si>
  <si>
    <t>sound_10000Hz_0_75.started</t>
  </si>
  <si>
    <t>res_10000Hz_0_75.started</t>
  </si>
  <si>
    <t>audio_10000Hz_0_75.stopped</t>
  </si>
  <si>
    <t>res_10000Hz_0_75.keys</t>
  </si>
  <si>
    <t>res_10000Hz_0_75.rt</t>
  </si>
  <si>
    <t>res_10000Hz_0_75.duration</t>
  </si>
  <si>
    <t>audio_10000Hz.started</t>
  </si>
  <si>
    <t>sound_10000Hz.started</t>
  </si>
  <si>
    <t>res_10000Hz.started</t>
  </si>
  <si>
    <t>audio_10000Hz.stopped</t>
  </si>
  <si>
    <t>res_10000Hz.keys</t>
  </si>
  <si>
    <t>res_10000Hz.rt</t>
  </si>
  <si>
    <t>res_10000Hz.duration</t>
  </si>
  <si>
    <t>audio_12500Hz_0_25.started</t>
  </si>
  <si>
    <t>sound_12500Hz_0_25.started</t>
  </si>
  <si>
    <t>res_12500Hz_0_25.started</t>
  </si>
  <si>
    <t>audio_12500Hz_0_25.stopped</t>
  </si>
  <si>
    <t>res_12500Hz_0_25.keys</t>
  </si>
  <si>
    <t>res_12500Hz_0_25.rt</t>
  </si>
  <si>
    <t>res_12500Hz_0_25.duration</t>
  </si>
  <si>
    <t>audio_12500Hz_0_5.started</t>
  </si>
  <si>
    <t>sound_12500Hz_0_5.started</t>
  </si>
  <si>
    <t>res_12500Hz_0_5.started</t>
  </si>
  <si>
    <t>audio_12500Hz_0_5.stopped</t>
  </si>
  <si>
    <t>res_12500Hz_0_5.keys</t>
  </si>
  <si>
    <t>res_12500Hz_0_5.rt</t>
  </si>
  <si>
    <t>res_12500Hz_0_5.duration</t>
  </si>
  <si>
    <t>audio_12500Hz_0_75.started</t>
  </si>
  <si>
    <t>sound_12500Hz_0_75.started</t>
  </si>
  <si>
    <t>res_12500Hz_0_75.started</t>
  </si>
  <si>
    <t>audio_12500Hz_0_75.stopped</t>
  </si>
  <si>
    <t>res_12500Hz_0_75.keys</t>
  </si>
  <si>
    <t>res_12500Hz_0_75.rt</t>
  </si>
  <si>
    <t>res_12500Hz_0_75.duration</t>
  </si>
  <si>
    <t>audio_12500Hz.started</t>
  </si>
  <si>
    <t>sound_12500.started</t>
  </si>
  <si>
    <t>res_12500.started</t>
  </si>
  <si>
    <t>audio_12500Hz.stopped</t>
  </si>
  <si>
    <t>res_12500.keys</t>
  </si>
  <si>
    <t>res_12500.rt</t>
  </si>
  <si>
    <t>res_12500.duration</t>
  </si>
  <si>
    <t>outro.started</t>
  </si>
  <si>
    <t>text_outro.started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</si>
  <si>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</si>
  <si>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</si>
  <si>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</si>
  <si>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</si>
  <si>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</si>
  <si>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</si>
  <si>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</si>
  <si>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space</t>
  </si>
  <si>
    <t>None</t>
  </si>
  <si>
    <t>areeb</t>
  </si>
  <si>
    <t>2024-06-20_11h04.57.813</t>
  </si>
  <si>
    <t>test1</t>
  </si>
  <si>
    <t>2024.1.1</t>
  </si>
  <si>
    <t>2024-06-20 11h05.17.893733 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</si>
</sst>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27A0-EEB3-4FB7-82FA-6091A8CA9E9A}">
  <dimension ref="A1:QD69"/>
  <sheetViews>
    <sheetView tabSelected="1" topLeftCell="AO1" zoomScaleNormal="100" workbookViewId="0">
      <selection activeCell="AZ11" sqref="AZ11"/>
    </sheetView>
  </sheetViews>
  <sheetFormatPr defaultRowHeight="14.5" x14ac:dyDescent="0.35"/>
  <cols>
    <col min="122" max="122" width="9.1796875" customWidth="1"/>
    <col min="129" max="129" width="12.81640625" customWidth="1"/>
  </cols>
  <sheetData>
    <row r="1" spans="1:4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</row>
    <row r="2" spans="1:446" x14ac:dyDescent="0.35">
      <c r="K2">
        <v>2.4245999999999998E-3</v>
      </c>
      <c r="L2">
        <v>4.8710999999999997E-3</v>
      </c>
      <c r="M2">
        <v>2.0067796000000002</v>
      </c>
      <c r="N2">
        <v>57.4639022</v>
      </c>
      <c r="O2" t="s">
        <v>446</v>
      </c>
      <c r="P2">
        <v>57.456503400000003</v>
      </c>
      <c r="Q2" t="s">
        <v>447</v>
      </c>
      <c r="PX2" t="s">
        <v>448</v>
      </c>
      <c r="PY2">
        <v>1</v>
      </c>
      <c r="PZ2" t="s">
        <v>449</v>
      </c>
      <c r="QA2" t="s">
        <v>450</v>
      </c>
      <c r="QB2" t="s">
        <v>451</v>
      </c>
      <c r="QC2" t="s">
        <v>447</v>
      </c>
      <c r="QD2" t="s">
        <v>452</v>
      </c>
    </row>
    <row r="3" spans="1:446" x14ac:dyDescent="0.35">
      <c r="R3">
        <v>57.4639436</v>
      </c>
      <c r="S3">
        <v>57.472879499999998</v>
      </c>
      <c r="T3">
        <v>62.472747099999999</v>
      </c>
      <c r="U3">
        <v>64.290396000000001</v>
      </c>
      <c r="V3" t="s">
        <v>446</v>
      </c>
      <c r="W3">
        <v>64.277434200000002</v>
      </c>
      <c r="X3" t="s">
        <v>447</v>
      </c>
      <c r="PX3" t="s">
        <v>448</v>
      </c>
      <c r="PY3">
        <v>1</v>
      </c>
      <c r="PZ3" t="s">
        <v>449</v>
      </c>
      <c r="QA3" t="s">
        <v>450</v>
      </c>
      <c r="QB3" t="s">
        <v>451</v>
      </c>
      <c r="QC3" t="s">
        <v>447</v>
      </c>
      <c r="QD3" t="s">
        <v>452</v>
      </c>
    </row>
    <row r="4" spans="1:446" x14ac:dyDescent="0.35">
      <c r="A4">
        <v>0</v>
      </c>
      <c r="B4">
        <v>0</v>
      </c>
      <c r="C4">
        <v>0</v>
      </c>
      <c r="D4">
        <v>0</v>
      </c>
      <c r="I4">
        <v>64.305955499999996</v>
      </c>
      <c r="Y4">
        <v>64.291079800000006</v>
      </c>
      <c r="Z4">
        <v>66.306125399999999</v>
      </c>
      <c r="AA4">
        <v>66.306125399999999</v>
      </c>
      <c r="AB4">
        <v>85.007303199999996</v>
      </c>
      <c r="AC4" t="s">
        <v>446</v>
      </c>
      <c r="AD4">
        <v>84.997966500000004</v>
      </c>
      <c r="AE4" t="s">
        <v>447</v>
      </c>
      <c r="PX4" t="s">
        <v>448</v>
      </c>
      <c r="PY4">
        <v>1</v>
      </c>
      <c r="PZ4" t="s">
        <v>449</v>
      </c>
      <c r="QA4" t="s">
        <v>450</v>
      </c>
      <c r="QB4" t="s">
        <v>451</v>
      </c>
      <c r="QC4" t="s">
        <v>447</v>
      </c>
      <c r="QD4" t="s">
        <v>452</v>
      </c>
    </row>
    <row r="5" spans="1:446" x14ac:dyDescent="0.35">
      <c r="A5">
        <v>1</v>
      </c>
      <c r="B5">
        <v>0</v>
      </c>
      <c r="C5">
        <v>1</v>
      </c>
      <c r="D5">
        <v>0</v>
      </c>
      <c r="I5">
        <v>85.022278799999995</v>
      </c>
      <c r="Y5">
        <v>85.008065799999997</v>
      </c>
      <c r="Z5">
        <v>87.022457200000005</v>
      </c>
      <c r="AA5">
        <v>87.022457200000005</v>
      </c>
      <c r="AB5">
        <v>87.506980900000002</v>
      </c>
      <c r="AC5" t="s">
        <v>446</v>
      </c>
      <c r="AD5">
        <v>87.502124100000003</v>
      </c>
      <c r="AE5" t="s">
        <v>447</v>
      </c>
      <c r="PX5" t="s">
        <v>448</v>
      </c>
      <c r="PY5">
        <v>1</v>
      </c>
      <c r="PZ5" t="s">
        <v>449</v>
      </c>
      <c r="QA5" t="s">
        <v>450</v>
      </c>
      <c r="QB5" t="s">
        <v>451</v>
      </c>
      <c r="QC5" t="s">
        <v>447</v>
      </c>
      <c r="QD5" t="s">
        <v>452</v>
      </c>
    </row>
    <row r="6" spans="1:446" x14ac:dyDescent="0.35">
      <c r="A6">
        <v>2</v>
      </c>
      <c r="B6">
        <v>0</v>
      </c>
      <c r="C6">
        <v>2</v>
      </c>
      <c r="D6">
        <v>0</v>
      </c>
      <c r="I6">
        <v>87.522237799999999</v>
      </c>
      <c r="Y6">
        <v>87.507433399999996</v>
      </c>
      <c r="Z6">
        <v>89.522278600000007</v>
      </c>
      <c r="AA6">
        <v>89.522278600000007</v>
      </c>
      <c r="AB6">
        <v>89.823322500000003</v>
      </c>
      <c r="AC6" t="s">
        <v>446</v>
      </c>
      <c r="AD6">
        <v>89.806397700000005</v>
      </c>
      <c r="AE6" t="s">
        <v>447</v>
      </c>
      <c r="PX6" t="s">
        <v>448</v>
      </c>
      <c r="PY6">
        <v>1</v>
      </c>
      <c r="PZ6" t="s">
        <v>449</v>
      </c>
      <c r="QA6" t="s">
        <v>450</v>
      </c>
      <c r="QB6" t="s">
        <v>451</v>
      </c>
      <c r="QC6" t="s">
        <v>447</v>
      </c>
      <c r="QD6" t="s">
        <v>452</v>
      </c>
    </row>
    <row r="7" spans="1:446" x14ac:dyDescent="0.35">
      <c r="A7">
        <v>3</v>
      </c>
      <c r="B7">
        <v>0</v>
      </c>
      <c r="C7">
        <v>3</v>
      </c>
      <c r="D7">
        <v>0</v>
      </c>
      <c r="I7">
        <v>89.838982099999996</v>
      </c>
      <c r="Y7">
        <v>89.823771300000004</v>
      </c>
      <c r="Z7">
        <v>91.839260800000005</v>
      </c>
      <c r="AA7">
        <v>91.839260800000005</v>
      </c>
      <c r="AB7">
        <v>92.107331799999997</v>
      </c>
      <c r="AC7" t="s">
        <v>446</v>
      </c>
      <c r="AD7">
        <v>92.098960000000005</v>
      </c>
      <c r="AE7" t="s">
        <v>447</v>
      </c>
      <c r="PX7" t="s">
        <v>448</v>
      </c>
      <c r="PY7">
        <v>1</v>
      </c>
      <c r="PZ7" t="s">
        <v>449</v>
      </c>
      <c r="QA7" t="s">
        <v>450</v>
      </c>
      <c r="QB7" t="s">
        <v>451</v>
      </c>
      <c r="QC7" t="s">
        <v>447</v>
      </c>
      <c r="QD7" t="s">
        <v>452</v>
      </c>
    </row>
    <row r="8" spans="1:446" x14ac:dyDescent="0.35">
      <c r="A8">
        <v>4</v>
      </c>
      <c r="B8">
        <v>0</v>
      </c>
      <c r="C8">
        <v>4</v>
      </c>
      <c r="D8">
        <v>0</v>
      </c>
      <c r="I8">
        <v>92.122297799999998</v>
      </c>
      <c r="Y8">
        <v>92.107923200000002</v>
      </c>
      <c r="Z8">
        <v>94.122441300000006</v>
      </c>
      <c r="AA8">
        <v>94.122441300000006</v>
      </c>
      <c r="AB8">
        <v>94.440342700000002</v>
      </c>
      <c r="AC8" t="s">
        <v>446</v>
      </c>
      <c r="AD8">
        <v>94.438135700000004</v>
      </c>
      <c r="AE8" t="s">
        <v>447</v>
      </c>
      <c r="PX8" t="s">
        <v>448</v>
      </c>
      <c r="PY8">
        <v>1</v>
      </c>
      <c r="PZ8" t="s">
        <v>449</v>
      </c>
      <c r="QA8" t="s">
        <v>450</v>
      </c>
      <c r="QB8" t="s">
        <v>451</v>
      </c>
      <c r="QC8" t="s">
        <v>447</v>
      </c>
      <c r="QD8" t="s">
        <v>452</v>
      </c>
    </row>
    <row r="9" spans="1:446" x14ac:dyDescent="0.35">
      <c r="AF9">
        <v>94.440699699999996</v>
      </c>
      <c r="AG9">
        <v>95.455678000000006</v>
      </c>
      <c r="AH9">
        <v>95.455678000000006</v>
      </c>
      <c r="AI9">
        <v>97.740417399999998</v>
      </c>
      <c r="AJ9" t="s">
        <v>446</v>
      </c>
      <c r="AK9">
        <v>97.726600000000005</v>
      </c>
      <c r="AL9">
        <f>(AK9-AH9)*1000</f>
        <v>2270.9219999999987</v>
      </c>
      <c r="PX9" t="s">
        <v>448</v>
      </c>
      <c r="PY9">
        <v>1</v>
      </c>
      <c r="PZ9" t="s">
        <v>449</v>
      </c>
      <c r="QA9" t="s">
        <v>450</v>
      </c>
      <c r="QB9" t="s">
        <v>451</v>
      </c>
      <c r="QC9" t="s">
        <v>447</v>
      </c>
      <c r="QD9" t="s">
        <v>452</v>
      </c>
    </row>
    <row r="10" spans="1:446" x14ac:dyDescent="0.35">
      <c r="AM10">
        <v>97.740459700000002</v>
      </c>
      <c r="AN10">
        <v>99.755777899999998</v>
      </c>
      <c r="AO10">
        <v>99.755777899999998</v>
      </c>
      <c r="AP10">
        <v>100.69007329999999</v>
      </c>
      <c r="AQ10" t="s">
        <v>446</v>
      </c>
      <c r="AR10">
        <v>100.6840649</v>
      </c>
      <c r="AS10">
        <f>(AR10-AO10)*1000</f>
        <v>928.28699999999742</v>
      </c>
      <c r="PX10" t="s">
        <v>448</v>
      </c>
      <c r="PY10">
        <v>1</v>
      </c>
      <c r="PZ10" t="s">
        <v>449</v>
      </c>
      <c r="QA10" t="s">
        <v>450</v>
      </c>
      <c r="QB10" t="s">
        <v>451</v>
      </c>
      <c r="QC10" t="s">
        <v>447</v>
      </c>
      <c r="QD10" t="s">
        <v>452</v>
      </c>
    </row>
    <row r="11" spans="1:446" x14ac:dyDescent="0.35">
      <c r="AT11">
        <v>100.69013990000001</v>
      </c>
      <c r="AU11">
        <v>102.7057381</v>
      </c>
      <c r="AV11">
        <v>102.7057381</v>
      </c>
      <c r="AW11">
        <v>102.9904901</v>
      </c>
      <c r="AX11" t="s">
        <v>446</v>
      </c>
      <c r="AY11">
        <v>102.98830150000001</v>
      </c>
      <c r="AZ11">
        <f>(AY11-AV11)*1000</f>
        <v>282.5634000000008</v>
      </c>
      <c r="PX11" t="s">
        <v>448</v>
      </c>
      <c r="PY11">
        <v>1</v>
      </c>
      <c r="PZ11" t="s">
        <v>449</v>
      </c>
      <c r="QA11" t="s">
        <v>450</v>
      </c>
      <c r="QB11" t="s">
        <v>451</v>
      </c>
      <c r="QC11" t="s">
        <v>447</v>
      </c>
      <c r="QD11" t="s">
        <v>452</v>
      </c>
    </row>
    <row r="12" spans="1:446" x14ac:dyDescent="0.35">
      <c r="BA12">
        <v>102.9905126</v>
      </c>
      <c r="BB12">
        <v>105.00566379999999</v>
      </c>
      <c r="BC12">
        <v>105.00566379999999</v>
      </c>
      <c r="BD12">
        <v>105.2734471</v>
      </c>
      <c r="BE12" t="s">
        <v>446</v>
      </c>
      <c r="BF12">
        <v>105.25707300000001</v>
      </c>
      <c r="BG12">
        <f>BF12-BC12</f>
        <v>0.25140920000001188</v>
      </c>
      <c r="PX12" t="s">
        <v>448</v>
      </c>
      <c r="PY12">
        <v>1</v>
      </c>
      <c r="PZ12" t="s">
        <v>449</v>
      </c>
      <c r="QA12" t="s">
        <v>450</v>
      </c>
      <c r="QB12" t="s">
        <v>451</v>
      </c>
      <c r="QC12" t="s">
        <v>447</v>
      </c>
      <c r="QD12" t="s">
        <v>452</v>
      </c>
    </row>
    <row r="13" spans="1:446" x14ac:dyDescent="0.35">
      <c r="BH13">
        <v>105.2734877</v>
      </c>
      <c r="BI13">
        <v>107.2890599</v>
      </c>
      <c r="BJ13">
        <v>107.2890599</v>
      </c>
      <c r="BK13">
        <v>107.5564627</v>
      </c>
      <c r="BL13" t="s">
        <v>446</v>
      </c>
      <c r="BM13">
        <v>107.5556423</v>
      </c>
      <c r="BN13">
        <f>BM13-BJ13</f>
        <v>0.26658240000000433</v>
      </c>
      <c r="PX13" t="s">
        <v>448</v>
      </c>
      <c r="PY13">
        <v>1</v>
      </c>
      <c r="PZ13" t="s">
        <v>449</v>
      </c>
      <c r="QA13" t="s">
        <v>450</v>
      </c>
      <c r="QB13" t="s">
        <v>451</v>
      </c>
      <c r="QC13" t="s">
        <v>447</v>
      </c>
      <c r="QD13" t="s">
        <v>452</v>
      </c>
    </row>
    <row r="14" spans="1:446" x14ac:dyDescent="0.35">
      <c r="BO14">
        <v>107.5564938</v>
      </c>
      <c r="BP14">
        <v>109.555711</v>
      </c>
      <c r="BQ14">
        <v>109.555711</v>
      </c>
      <c r="BR14">
        <v>109.8567549</v>
      </c>
      <c r="BS14" t="s">
        <v>446</v>
      </c>
      <c r="BT14">
        <v>109.8514553</v>
      </c>
      <c r="BU14">
        <f>BT14-BQ14</f>
        <v>0.29574429999999552</v>
      </c>
      <c r="PX14" t="s">
        <v>448</v>
      </c>
      <c r="PY14">
        <v>1</v>
      </c>
      <c r="PZ14" t="s">
        <v>449</v>
      </c>
      <c r="QA14" t="s">
        <v>450</v>
      </c>
      <c r="QB14" t="s">
        <v>451</v>
      </c>
      <c r="QC14" t="s">
        <v>447</v>
      </c>
      <c r="QD14" t="s">
        <v>452</v>
      </c>
    </row>
    <row r="15" spans="1:446" x14ac:dyDescent="0.35">
      <c r="BV15">
        <v>109.8567953</v>
      </c>
      <c r="BW15">
        <v>111.872191</v>
      </c>
      <c r="BX15">
        <v>111.872191</v>
      </c>
      <c r="BY15">
        <v>112.1402813</v>
      </c>
      <c r="BZ15" t="s">
        <v>446</v>
      </c>
      <c r="CA15">
        <v>112.1329932</v>
      </c>
      <c r="CB15">
        <f>CA15-BX15</f>
        <v>0.26080220000000054</v>
      </c>
      <c r="PX15" t="s">
        <v>448</v>
      </c>
      <c r="PY15">
        <v>1</v>
      </c>
      <c r="PZ15" t="s">
        <v>449</v>
      </c>
      <c r="QA15" t="s">
        <v>450</v>
      </c>
      <c r="QB15" t="s">
        <v>451</v>
      </c>
      <c r="QC15" t="s">
        <v>447</v>
      </c>
      <c r="QD15" t="s">
        <v>452</v>
      </c>
    </row>
    <row r="16" spans="1:446" x14ac:dyDescent="0.35">
      <c r="CC16">
        <v>112.14032539999999</v>
      </c>
      <c r="CD16">
        <v>114.1556848</v>
      </c>
      <c r="CE16">
        <v>114.1556848</v>
      </c>
      <c r="CF16">
        <v>114.4568936</v>
      </c>
      <c r="CG16" t="s">
        <v>446</v>
      </c>
      <c r="CH16">
        <v>114.4428466</v>
      </c>
      <c r="CI16">
        <f>CH16-CE16</f>
        <v>0.2871617999999927</v>
      </c>
      <c r="PX16" t="s">
        <v>448</v>
      </c>
      <c r="PY16">
        <v>1</v>
      </c>
      <c r="PZ16" t="s">
        <v>449</v>
      </c>
      <c r="QA16" t="s">
        <v>450</v>
      </c>
      <c r="QB16" t="s">
        <v>451</v>
      </c>
      <c r="QC16" t="s">
        <v>447</v>
      </c>
      <c r="QD16" t="s">
        <v>452</v>
      </c>
    </row>
    <row r="17" spans="88:446" x14ac:dyDescent="0.35">
      <c r="CJ17">
        <v>114.45693679999999</v>
      </c>
      <c r="CK17">
        <v>116.4720339</v>
      </c>
      <c r="CL17">
        <v>116.4720339</v>
      </c>
      <c r="CM17">
        <v>116.77366240000001</v>
      </c>
      <c r="CN17" t="s">
        <v>446</v>
      </c>
      <c r="CO17">
        <v>116.75937620000001</v>
      </c>
      <c r="CP17">
        <f>CO17-CL17</f>
        <v>0.28734230000000593</v>
      </c>
      <c r="PX17" t="s">
        <v>448</v>
      </c>
      <c r="PY17">
        <v>1</v>
      </c>
      <c r="PZ17" t="s">
        <v>449</v>
      </c>
      <c r="QA17" t="s">
        <v>450</v>
      </c>
      <c r="QB17" t="s">
        <v>451</v>
      </c>
      <c r="QC17" t="s">
        <v>447</v>
      </c>
      <c r="QD17" t="s">
        <v>452</v>
      </c>
    </row>
    <row r="18" spans="88:446" x14ac:dyDescent="0.35">
      <c r="CQ18">
        <v>116.7737162</v>
      </c>
      <c r="CR18">
        <v>118.78899490000001</v>
      </c>
      <c r="CS18">
        <v>118.78899490000001</v>
      </c>
      <c r="CT18">
        <v>119.0234531</v>
      </c>
      <c r="CU18" t="s">
        <v>446</v>
      </c>
      <c r="CV18">
        <v>119.0097466</v>
      </c>
      <c r="CW18">
        <f>CV18-CS18</f>
        <v>0.22075169999999389</v>
      </c>
      <c r="PX18" t="s">
        <v>448</v>
      </c>
      <c r="PY18">
        <v>1</v>
      </c>
      <c r="PZ18" t="s">
        <v>449</v>
      </c>
      <c r="QA18" t="s">
        <v>450</v>
      </c>
      <c r="QB18" t="s">
        <v>451</v>
      </c>
      <c r="QC18" t="s">
        <v>447</v>
      </c>
      <c r="QD18" t="s">
        <v>452</v>
      </c>
    </row>
    <row r="19" spans="88:446" x14ac:dyDescent="0.35">
      <c r="CX19">
        <v>119.0235071</v>
      </c>
      <c r="CY19">
        <v>121.0389017</v>
      </c>
      <c r="CZ19">
        <v>121.0389017</v>
      </c>
      <c r="DA19">
        <v>121.3232008</v>
      </c>
      <c r="DB19" t="s">
        <v>446</v>
      </c>
      <c r="DC19">
        <v>121.310434</v>
      </c>
      <c r="DD19">
        <f>DC19-CZ19</f>
        <v>0.27153230000000406</v>
      </c>
      <c r="PX19" t="s">
        <v>448</v>
      </c>
      <c r="PY19">
        <v>1</v>
      </c>
      <c r="PZ19" t="s">
        <v>449</v>
      </c>
      <c r="QA19" t="s">
        <v>450</v>
      </c>
      <c r="QB19" t="s">
        <v>451</v>
      </c>
      <c r="QC19" t="s">
        <v>447</v>
      </c>
      <c r="QD19" t="s">
        <v>452</v>
      </c>
    </row>
    <row r="20" spans="88:446" x14ac:dyDescent="0.35">
      <c r="DE20">
        <v>121.3232462</v>
      </c>
      <c r="DF20">
        <v>123.3387994</v>
      </c>
      <c r="DG20">
        <v>123.3387994</v>
      </c>
      <c r="DH20">
        <v>123.6068593</v>
      </c>
      <c r="DI20" t="s">
        <v>446</v>
      </c>
      <c r="DJ20">
        <v>123.60168969999999</v>
      </c>
      <c r="DK20">
        <f>DJ20-DG20</f>
        <v>0.26289029999999514</v>
      </c>
      <c r="PX20" t="s">
        <v>448</v>
      </c>
      <c r="PY20">
        <v>1</v>
      </c>
      <c r="PZ20" t="s">
        <v>449</v>
      </c>
      <c r="QA20" t="s">
        <v>450</v>
      </c>
      <c r="QB20" t="s">
        <v>451</v>
      </c>
      <c r="QC20" t="s">
        <v>447</v>
      </c>
      <c r="QD20" t="s">
        <v>452</v>
      </c>
    </row>
    <row r="21" spans="88:446" x14ac:dyDescent="0.35">
      <c r="DL21">
        <v>123.6069129</v>
      </c>
      <c r="DM21">
        <v>125.6220058</v>
      </c>
      <c r="DN21">
        <v>125.6220058</v>
      </c>
      <c r="DO21">
        <v>125.8899242</v>
      </c>
      <c r="DP21" t="s">
        <v>446</v>
      </c>
      <c r="DQ21">
        <v>125.88416239999999</v>
      </c>
      <c r="DR21">
        <f>(DQ21-DN21)*1000</f>
        <v>262.1565999999973</v>
      </c>
      <c r="PX21" t="s">
        <v>448</v>
      </c>
      <c r="PY21">
        <v>1</v>
      </c>
      <c r="PZ21" t="s">
        <v>449</v>
      </c>
      <c r="QA21" t="s">
        <v>450</v>
      </c>
      <c r="QB21" t="s">
        <v>451</v>
      </c>
      <c r="QC21" t="s">
        <v>447</v>
      </c>
      <c r="QD21" t="s">
        <v>452</v>
      </c>
    </row>
    <row r="22" spans="88:446" x14ac:dyDescent="0.35">
      <c r="DS22">
        <v>125.8899648</v>
      </c>
      <c r="DT22">
        <v>127.9056015</v>
      </c>
      <c r="DU22">
        <v>127.9056015</v>
      </c>
      <c r="DV22">
        <v>128.1725175</v>
      </c>
      <c r="DW22" t="s">
        <v>446</v>
      </c>
      <c r="DX22">
        <v>128.17049230000001</v>
      </c>
      <c r="DY22">
        <f>(DX22-DU22)*1000</f>
        <v>264.89080000000342</v>
      </c>
      <c r="PX22" t="s">
        <v>448</v>
      </c>
      <c r="PY22">
        <v>1</v>
      </c>
      <c r="PZ22" t="s">
        <v>449</v>
      </c>
      <c r="QA22" t="s">
        <v>450</v>
      </c>
      <c r="QB22" t="s">
        <v>451</v>
      </c>
      <c r="QC22" t="s">
        <v>447</v>
      </c>
      <c r="QD22" t="s">
        <v>452</v>
      </c>
    </row>
    <row r="23" spans="88:446" x14ac:dyDescent="0.35">
      <c r="DZ23">
        <v>128.1725433</v>
      </c>
      <c r="EA23">
        <v>130.17203979999999</v>
      </c>
      <c r="EB23">
        <v>130.17203979999999</v>
      </c>
      <c r="EC23">
        <v>130.4400971</v>
      </c>
      <c r="ED23" t="s">
        <v>446</v>
      </c>
      <c r="EE23">
        <v>130.43116370000001</v>
      </c>
      <c r="EF23">
        <f>(EE23-EB23)*1000</f>
        <v>259.12390000002006</v>
      </c>
      <c r="PX23" t="s">
        <v>448</v>
      </c>
      <c r="PY23">
        <v>1</v>
      </c>
      <c r="PZ23" t="s">
        <v>449</v>
      </c>
      <c r="QA23" t="s">
        <v>450</v>
      </c>
      <c r="QB23" t="s">
        <v>451</v>
      </c>
      <c r="QC23" t="s">
        <v>447</v>
      </c>
      <c r="QD23" t="s">
        <v>452</v>
      </c>
    </row>
    <row r="24" spans="88:446" x14ac:dyDescent="0.35">
      <c r="EG24">
        <v>130.4401484</v>
      </c>
      <c r="EH24">
        <v>132.4554862</v>
      </c>
      <c r="EI24">
        <v>132.4554862</v>
      </c>
      <c r="EJ24">
        <v>132.74001179999999</v>
      </c>
      <c r="EK24" t="s">
        <v>446</v>
      </c>
      <c r="EL24">
        <v>132.7366462</v>
      </c>
      <c r="EM24" t="s">
        <v>447</v>
      </c>
      <c r="PX24" t="s">
        <v>448</v>
      </c>
      <c r="PY24">
        <v>1</v>
      </c>
      <c r="PZ24" t="s">
        <v>449</v>
      </c>
      <c r="QA24" t="s">
        <v>450</v>
      </c>
      <c r="QB24" t="s">
        <v>451</v>
      </c>
      <c r="QC24" t="s">
        <v>447</v>
      </c>
      <c r="QD24" t="s">
        <v>452</v>
      </c>
    </row>
    <row r="25" spans="88:446" x14ac:dyDescent="0.35">
      <c r="EN25">
        <v>132.7400609</v>
      </c>
      <c r="EO25">
        <v>134.75543619999999</v>
      </c>
      <c r="EP25">
        <v>134.75543619999999</v>
      </c>
      <c r="EQ25">
        <v>135.0567503</v>
      </c>
      <c r="ER25" t="s">
        <v>446</v>
      </c>
      <c r="ES25">
        <v>135.0543835</v>
      </c>
      <c r="ET25">
        <f>(ES25-EP25)*1000</f>
        <v>298.94730000000891</v>
      </c>
      <c r="PX25" t="s">
        <v>448</v>
      </c>
      <c r="PY25">
        <v>1</v>
      </c>
      <c r="PZ25" t="s">
        <v>449</v>
      </c>
      <c r="QA25" t="s">
        <v>450</v>
      </c>
      <c r="QB25" t="s">
        <v>451</v>
      </c>
      <c r="QC25" t="s">
        <v>447</v>
      </c>
      <c r="QD25" t="s">
        <v>452</v>
      </c>
    </row>
    <row r="26" spans="88:446" x14ac:dyDescent="0.35">
      <c r="EU26">
        <v>135.05679739999999</v>
      </c>
      <c r="EV26">
        <v>137.07194089999999</v>
      </c>
      <c r="EW26">
        <v>137.07194089999999</v>
      </c>
      <c r="EX26">
        <v>137.37364260000001</v>
      </c>
      <c r="EY26" t="s">
        <v>446</v>
      </c>
      <c r="EZ26">
        <v>137.37054509999999</v>
      </c>
      <c r="FA26">
        <f>(EZ26-EW26)*1000</f>
        <v>298.60419999999976</v>
      </c>
      <c r="PX26" t="s">
        <v>448</v>
      </c>
      <c r="PY26">
        <v>1</v>
      </c>
      <c r="PZ26" t="s">
        <v>449</v>
      </c>
      <c r="QA26" t="s">
        <v>450</v>
      </c>
      <c r="QB26" t="s">
        <v>451</v>
      </c>
      <c r="QC26" t="s">
        <v>447</v>
      </c>
      <c r="QD26" t="s">
        <v>452</v>
      </c>
    </row>
    <row r="27" spans="88:446" x14ac:dyDescent="0.35">
      <c r="FB27">
        <v>137.3737021</v>
      </c>
      <c r="FC27">
        <v>139.38867880000001</v>
      </c>
      <c r="FD27">
        <v>139.38867880000001</v>
      </c>
      <c r="FE27">
        <v>139.6733509</v>
      </c>
      <c r="FF27" t="s">
        <v>446</v>
      </c>
      <c r="FG27">
        <v>139.65714220000001</v>
      </c>
      <c r="FH27">
        <f>(FG27-FD27)*1000</f>
        <v>268.46340000000168</v>
      </c>
      <c r="PX27" t="s">
        <v>448</v>
      </c>
      <c r="PY27">
        <v>1</v>
      </c>
      <c r="PZ27" t="s">
        <v>449</v>
      </c>
      <c r="QA27" t="s">
        <v>450</v>
      </c>
      <c r="QB27" t="s">
        <v>451</v>
      </c>
      <c r="QC27" t="s">
        <v>447</v>
      </c>
      <c r="QD27" t="s">
        <v>452</v>
      </c>
    </row>
    <row r="28" spans="88:446" x14ac:dyDescent="0.35">
      <c r="FI28">
        <v>139.673406</v>
      </c>
      <c r="FJ28">
        <v>141.68883919999999</v>
      </c>
      <c r="FK28">
        <v>141.68883919999999</v>
      </c>
      <c r="FL28">
        <v>142.00647290000001</v>
      </c>
      <c r="FM28" t="s">
        <v>446</v>
      </c>
      <c r="FN28">
        <v>141.9949148</v>
      </c>
      <c r="FO28">
        <f>(FN28-FK28)*1000</f>
        <v>306.07560000001399</v>
      </c>
      <c r="PX28" t="s">
        <v>448</v>
      </c>
      <c r="PY28">
        <v>1</v>
      </c>
      <c r="PZ28" t="s">
        <v>449</v>
      </c>
      <c r="QA28" t="s">
        <v>450</v>
      </c>
      <c r="QB28" t="s">
        <v>451</v>
      </c>
      <c r="QC28" t="s">
        <v>447</v>
      </c>
      <c r="QD28" t="s">
        <v>452</v>
      </c>
    </row>
    <row r="29" spans="88:446" x14ac:dyDescent="0.35">
      <c r="FP29">
        <v>142.0065251</v>
      </c>
      <c r="FQ29">
        <v>144.02198870000001</v>
      </c>
      <c r="FR29">
        <v>144.02198870000001</v>
      </c>
      <c r="FS29">
        <v>144.32289800000001</v>
      </c>
      <c r="FT29" t="s">
        <v>446</v>
      </c>
      <c r="FU29">
        <v>144.31803439999999</v>
      </c>
      <c r="FV29">
        <f>(FU29-FR29)*1000</f>
        <v>296.04569999997921</v>
      </c>
      <c r="PX29" t="s">
        <v>448</v>
      </c>
      <c r="PY29">
        <v>1</v>
      </c>
      <c r="PZ29" t="s">
        <v>449</v>
      </c>
      <c r="QA29" t="s">
        <v>450</v>
      </c>
      <c r="QB29" t="s">
        <v>451</v>
      </c>
      <c r="QC29" t="s">
        <v>447</v>
      </c>
      <c r="QD29" t="s">
        <v>452</v>
      </c>
    </row>
    <row r="30" spans="88:446" x14ac:dyDescent="0.35">
      <c r="FW30">
        <v>144.32293949999999</v>
      </c>
      <c r="FX30">
        <v>146.33860429999999</v>
      </c>
      <c r="FY30">
        <v>146.33860429999999</v>
      </c>
      <c r="FZ30">
        <v>146.62329170000001</v>
      </c>
      <c r="GA30" t="s">
        <v>446</v>
      </c>
      <c r="GB30">
        <v>146.6159777</v>
      </c>
      <c r="GC30">
        <f>(GB30-FY30)*1000</f>
        <v>277.37340000001609</v>
      </c>
      <c r="PX30" t="s">
        <v>448</v>
      </c>
      <c r="PY30">
        <v>1</v>
      </c>
      <c r="PZ30" t="s">
        <v>449</v>
      </c>
      <c r="QA30" t="s">
        <v>450</v>
      </c>
      <c r="QB30" t="s">
        <v>451</v>
      </c>
      <c r="QC30" t="s">
        <v>447</v>
      </c>
      <c r="QD30" t="s">
        <v>452</v>
      </c>
    </row>
    <row r="31" spans="88:446" x14ac:dyDescent="0.35">
      <c r="GD31">
        <v>146.6233484</v>
      </c>
      <c r="GE31">
        <v>148.63855720000001</v>
      </c>
      <c r="GF31">
        <v>148.63855720000001</v>
      </c>
      <c r="GG31">
        <v>148.9898882</v>
      </c>
      <c r="GH31" t="s">
        <v>446</v>
      </c>
      <c r="GI31">
        <v>148.97726969999999</v>
      </c>
      <c r="GJ31">
        <f>(GI31-GF31)*1000</f>
        <v>338.71249999998554</v>
      </c>
      <c r="PX31" t="s">
        <v>448</v>
      </c>
      <c r="PY31">
        <v>1</v>
      </c>
      <c r="PZ31" t="s">
        <v>449</v>
      </c>
      <c r="QA31" t="s">
        <v>450</v>
      </c>
      <c r="QB31" t="s">
        <v>451</v>
      </c>
      <c r="QC31" t="s">
        <v>447</v>
      </c>
      <c r="QD31" t="s">
        <v>452</v>
      </c>
    </row>
    <row r="32" spans="88:446" x14ac:dyDescent="0.35">
      <c r="GK32">
        <v>148.9899513</v>
      </c>
      <c r="GL32">
        <v>151.00534099999999</v>
      </c>
      <c r="GM32">
        <v>151.00534099999999</v>
      </c>
      <c r="GN32">
        <v>151.2900913</v>
      </c>
      <c r="GO32" t="s">
        <v>446</v>
      </c>
      <c r="GP32">
        <v>151.27369200000001</v>
      </c>
      <c r="GQ32">
        <f>(GP32-GM32)*1000</f>
        <v>268.35100000002399</v>
      </c>
      <c r="PX32" t="s">
        <v>448</v>
      </c>
      <c r="PY32">
        <v>1</v>
      </c>
      <c r="PZ32" t="s">
        <v>449</v>
      </c>
      <c r="QA32" t="s">
        <v>450</v>
      </c>
      <c r="QB32" t="s">
        <v>451</v>
      </c>
      <c r="QC32" t="s">
        <v>447</v>
      </c>
      <c r="QD32" t="s">
        <v>452</v>
      </c>
    </row>
    <row r="33" spans="5:446" x14ac:dyDescent="0.35">
      <c r="GR33">
        <v>151.2901626</v>
      </c>
      <c r="GS33">
        <v>153.30516639999999</v>
      </c>
      <c r="GT33">
        <v>153.30516639999999</v>
      </c>
      <c r="GU33">
        <v>153.57306829999999</v>
      </c>
      <c r="GV33" t="s">
        <v>446</v>
      </c>
      <c r="GW33">
        <v>153.56689589999999</v>
      </c>
      <c r="GX33">
        <f>(GW33-GT33)*1000</f>
        <v>261.72950000000128</v>
      </c>
      <c r="PX33" t="s">
        <v>448</v>
      </c>
      <c r="PY33">
        <v>1</v>
      </c>
      <c r="PZ33" t="s">
        <v>449</v>
      </c>
      <c r="QA33" t="s">
        <v>450</v>
      </c>
      <c r="QB33" t="s">
        <v>451</v>
      </c>
      <c r="QC33" t="s">
        <v>447</v>
      </c>
      <c r="QD33" t="s">
        <v>452</v>
      </c>
    </row>
    <row r="34" spans="5:446" x14ac:dyDescent="0.35">
      <c r="GY34">
        <v>153.57312289999999</v>
      </c>
      <c r="GZ34">
        <v>155.58846130000001</v>
      </c>
      <c r="HA34">
        <v>155.58846130000001</v>
      </c>
      <c r="HB34">
        <v>155.87306810000001</v>
      </c>
      <c r="HC34" t="s">
        <v>446</v>
      </c>
      <c r="HD34">
        <v>155.85727080000001</v>
      </c>
      <c r="HE34">
        <f>(HD34-HA34)*1000</f>
        <v>268.80950000000325</v>
      </c>
      <c r="PX34" t="s">
        <v>448</v>
      </c>
      <c r="PY34">
        <v>1</v>
      </c>
      <c r="PZ34" t="s">
        <v>449</v>
      </c>
      <c r="QA34" t="s">
        <v>450</v>
      </c>
      <c r="QB34" t="s">
        <v>451</v>
      </c>
      <c r="QC34" t="s">
        <v>447</v>
      </c>
      <c r="QD34" t="s">
        <v>452</v>
      </c>
    </row>
    <row r="35" spans="5:446" x14ac:dyDescent="0.35">
      <c r="HF35">
        <v>155.87312180000001</v>
      </c>
      <c r="HG35">
        <v>157.88840999999999</v>
      </c>
      <c r="HH35">
        <v>157.88840999999999</v>
      </c>
      <c r="HI35">
        <v>158.20631090000001</v>
      </c>
      <c r="HJ35" t="s">
        <v>446</v>
      </c>
      <c r="HK35">
        <v>158.19024289999999</v>
      </c>
      <c r="HL35">
        <f>(HK35-HH35)*1000</f>
        <v>301.83289999999374</v>
      </c>
      <c r="PX35" t="s">
        <v>448</v>
      </c>
      <c r="PY35">
        <v>1</v>
      </c>
      <c r="PZ35" t="s">
        <v>449</v>
      </c>
      <c r="QA35" t="s">
        <v>450</v>
      </c>
      <c r="QB35" t="s">
        <v>451</v>
      </c>
      <c r="QC35" t="s">
        <v>447</v>
      </c>
      <c r="QD35" t="s">
        <v>452</v>
      </c>
    </row>
    <row r="36" spans="5:446" x14ac:dyDescent="0.35">
      <c r="HM36">
        <v>158.2063607</v>
      </c>
      <c r="HN36">
        <v>160.22167350000001</v>
      </c>
      <c r="HO36">
        <v>160.22167350000001</v>
      </c>
      <c r="HP36">
        <v>160.52310270000001</v>
      </c>
      <c r="HQ36" t="s">
        <v>446</v>
      </c>
      <c r="HR36">
        <v>160.514453</v>
      </c>
      <c r="HS36">
        <f>(HR36-HO36)*1000</f>
        <v>292.77949999999464</v>
      </c>
      <c r="PX36" t="s">
        <v>448</v>
      </c>
      <c r="PY36">
        <v>1</v>
      </c>
      <c r="PZ36" t="s">
        <v>449</v>
      </c>
      <c r="QA36" t="s">
        <v>450</v>
      </c>
      <c r="QB36" t="s">
        <v>451</v>
      </c>
      <c r="QC36" t="s">
        <v>447</v>
      </c>
      <c r="QD36" t="s">
        <v>452</v>
      </c>
    </row>
    <row r="37" spans="5:446" x14ac:dyDescent="0.35">
      <c r="HT37">
        <v>160.523191</v>
      </c>
      <c r="HU37">
        <v>162.53826520000001</v>
      </c>
      <c r="HV37">
        <v>162.53826520000001</v>
      </c>
      <c r="HW37">
        <v>162.82289950000001</v>
      </c>
      <c r="HX37" t="s">
        <v>446</v>
      </c>
      <c r="HY37">
        <v>162.81263899999999</v>
      </c>
      <c r="HZ37">
        <f>(HY37-HV37)*1000</f>
        <v>274.37379999997802</v>
      </c>
      <c r="PX37" t="s">
        <v>448</v>
      </c>
      <c r="PY37">
        <v>1</v>
      </c>
      <c r="PZ37" t="s">
        <v>449</v>
      </c>
      <c r="QA37" t="s">
        <v>450</v>
      </c>
      <c r="QB37" t="s">
        <v>451</v>
      </c>
      <c r="QC37" t="s">
        <v>447</v>
      </c>
      <c r="QD37" t="s">
        <v>452</v>
      </c>
    </row>
    <row r="38" spans="5:446" x14ac:dyDescent="0.35">
      <c r="IA38">
        <v>162.82294949999999</v>
      </c>
      <c r="IB38">
        <v>164.83817070000001</v>
      </c>
      <c r="IC38">
        <v>164.83817070000001</v>
      </c>
      <c r="ID38">
        <v>165.2400026</v>
      </c>
      <c r="IE38" t="s">
        <v>446</v>
      </c>
      <c r="IF38">
        <v>165.23483390000001</v>
      </c>
      <c r="IG38">
        <f>(IF38-IC38)*1000</f>
        <v>396.6632000000061</v>
      </c>
      <c r="PX38" t="s">
        <v>448</v>
      </c>
      <c r="PY38">
        <v>1</v>
      </c>
      <c r="PZ38" t="s">
        <v>449</v>
      </c>
      <c r="QA38" t="s">
        <v>450</v>
      </c>
      <c r="QB38" t="s">
        <v>451</v>
      </c>
      <c r="QC38" t="s">
        <v>447</v>
      </c>
      <c r="QD38" t="s">
        <v>452</v>
      </c>
    </row>
    <row r="39" spans="5:446" x14ac:dyDescent="0.35">
      <c r="IH39">
        <v>165.24006109999999</v>
      </c>
      <c r="II39">
        <v>167.25501589999999</v>
      </c>
      <c r="IJ39">
        <v>167.25501589999999</v>
      </c>
      <c r="IK39">
        <v>167.55663089999999</v>
      </c>
      <c r="IL39" t="s">
        <v>446</v>
      </c>
      <c r="IM39">
        <v>167.5532844</v>
      </c>
      <c r="IN39">
        <f>(IM39-IJ39)*1000</f>
        <v>298.26850000000604</v>
      </c>
      <c r="PX39" t="s">
        <v>448</v>
      </c>
      <c r="PY39">
        <v>1</v>
      </c>
      <c r="PZ39" t="s">
        <v>449</v>
      </c>
      <c r="QA39" t="s">
        <v>450</v>
      </c>
      <c r="QB39" t="s">
        <v>451</v>
      </c>
      <c r="QC39" t="s">
        <v>447</v>
      </c>
      <c r="QD39" t="s">
        <v>452</v>
      </c>
    </row>
    <row r="40" spans="5:446" x14ac:dyDescent="0.35">
      <c r="IO40">
        <v>167.55669510000001</v>
      </c>
      <c r="IP40">
        <v>167.57151020000001</v>
      </c>
      <c r="IQ40">
        <v>169.57161239999999</v>
      </c>
      <c r="IR40">
        <v>169.98974609999999</v>
      </c>
      <c r="IS40" t="s">
        <v>446</v>
      </c>
      <c r="IT40">
        <v>169.98853030000001</v>
      </c>
      <c r="IU40">
        <f>(IT40-IQ40)*1000</f>
        <v>416.91790000001561</v>
      </c>
      <c r="PX40" t="s">
        <v>448</v>
      </c>
      <c r="PY40">
        <v>1</v>
      </c>
      <c r="PZ40" t="s">
        <v>449</v>
      </c>
      <c r="QA40" t="s">
        <v>450</v>
      </c>
      <c r="QB40" t="s">
        <v>451</v>
      </c>
      <c r="QC40" t="s">
        <v>447</v>
      </c>
      <c r="QD40" t="s">
        <v>452</v>
      </c>
    </row>
    <row r="41" spans="5:446" x14ac:dyDescent="0.35">
      <c r="E41">
        <v>0</v>
      </c>
      <c r="F41">
        <v>0</v>
      </c>
      <c r="G41">
        <v>0</v>
      </c>
      <c r="H41">
        <v>0</v>
      </c>
      <c r="I41">
        <v>170.00471659999999</v>
      </c>
      <c r="IV41">
        <v>169.99046100000001</v>
      </c>
      <c r="IW41">
        <v>172.0048975</v>
      </c>
      <c r="IX41">
        <v>172.00496659999999</v>
      </c>
      <c r="IY41">
        <v>175.40630160000001</v>
      </c>
      <c r="IZ41" t="s">
        <v>446</v>
      </c>
      <c r="JA41">
        <v>175.4010567</v>
      </c>
      <c r="JB41">
        <f>(JA41-IX41)*1000</f>
        <v>3396.0901000000094</v>
      </c>
      <c r="PX41" t="s">
        <v>448</v>
      </c>
      <c r="PY41">
        <v>1</v>
      </c>
      <c r="PZ41" t="s">
        <v>449</v>
      </c>
      <c r="QA41" t="s">
        <v>450</v>
      </c>
      <c r="QB41" t="s">
        <v>451</v>
      </c>
      <c r="QC41" t="s">
        <v>447</v>
      </c>
      <c r="QD41" t="s">
        <v>452</v>
      </c>
    </row>
    <row r="42" spans="5:446" x14ac:dyDescent="0.35">
      <c r="E42">
        <v>1</v>
      </c>
      <c r="F42">
        <v>0</v>
      </c>
      <c r="G42">
        <v>1</v>
      </c>
      <c r="H42">
        <v>0</v>
      </c>
      <c r="I42">
        <v>175.4399578</v>
      </c>
      <c r="IV42">
        <v>175.4323584</v>
      </c>
      <c r="IX42">
        <v>177.438061</v>
      </c>
      <c r="IY42">
        <v>177.83946950000001</v>
      </c>
      <c r="IZ42" t="s">
        <v>446</v>
      </c>
      <c r="JA42">
        <v>177.8320712</v>
      </c>
      <c r="JB42">
        <f>(JA42-IX42)*1000</f>
        <v>394.01019999999676</v>
      </c>
      <c r="PX42" t="s">
        <v>448</v>
      </c>
      <c r="PY42">
        <v>1</v>
      </c>
      <c r="PZ42" t="s">
        <v>449</v>
      </c>
      <c r="QA42" t="s">
        <v>450</v>
      </c>
      <c r="QB42" t="s">
        <v>451</v>
      </c>
      <c r="QC42" t="s">
        <v>447</v>
      </c>
      <c r="QD42" t="s">
        <v>452</v>
      </c>
    </row>
    <row r="43" spans="5:446" x14ac:dyDescent="0.35">
      <c r="E43">
        <v>2</v>
      </c>
      <c r="F43">
        <v>0</v>
      </c>
      <c r="G43">
        <v>2</v>
      </c>
      <c r="H43">
        <v>0</v>
      </c>
      <c r="I43">
        <v>177.85467270000001</v>
      </c>
      <c r="IV43">
        <v>177.8399952</v>
      </c>
      <c r="IW43">
        <v>179.8547949</v>
      </c>
      <c r="IX43">
        <v>179.85480269999999</v>
      </c>
      <c r="IY43">
        <v>181.28949499999999</v>
      </c>
      <c r="IZ43" t="s">
        <v>446</v>
      </c>
      <c r="JA43">
        <v>181.2742106</v>
      </c>
      <c r="JB43">
        <f>(JA43-IX43)*1000</f>
        <v>1419.4079000000102</v>
      </c>
      <c r="PX43" t="s">
        <v>448</v>
      </c>
      <c r="PY43">
        <v>1</v>
      </c>
      <c r="PZ43" t="s">
        <v>449</v>
      </c>
      <c r="QA43" t="s">
        <v>450</v>
      </c>
      <c r="QB43" t="s">
        <v>451</v>
      </c>
      <c r="QC43" t="s">
        <v>447</v>
      </c>
      <c r="QD43" t="s">
        <v>452</v>
      </c>
    </row>
    <row r="44" spans="5:446" x14ac:dyDescent="0.35">
      <c r="JC44">
        <v>181.31189309999999</v>
      </c>
      <c r="JD44">
        <v>181.31655430000001</v>
      </c>
      <c r="JE44">
        <v>183.32130989999999</v>
      </c>
      <c r="JF44">
        <v>185.80599169999999</v>
      </c>
      <c r="JG44" t="s">
        <v>446</v>
      </c>
      <c r="JH44">
        <v>185.7996622</v>
      </c>
      <c r="JI44">
        <f>(JH44-JE44)*1000</f>
        <v>2478.3523000000114</v>
      </c>
      <c r="PX44" t="s">
        <v>448</v>
      </c>
      <c r="PY44">
        <v>1</v>
      </c>
      <c r="PZ44" t="s">
        <v>449</v>
      </c>
      <c r="QA44" t="s">
        <v>450</v>
      </c>
      <c r="QB44" t="s">
        <v>451</v>
      </c>
      <c r="QC44" t="s">
        <v>447</v>
      </c>
      <c r="QD44" t="s">
        <v>452</v>
      </c>
    </row>
    <row r="45" spans="5:446" x14ac:dyDescent="0.35">
      <c r="JJ45">
        <v>185.8060577</v>
      </c>
      <c r="JK45">
        <v>187.8213366</v>
      </c>
      <c r="JL45">
        <v>187.8213178</v>
      </c>
      <c r="JM45">
        <v>189.03950689999999</v>
      </c>
      <c r="JN45" t="s">
        <v>446</v>
      </c>
      <c r="JO45">
        <v>189.03575530000001</v>
      </c>
      <c r="JP45">
        <f>(JO45-JL45)*1000</f>
        <v>1214.4375000000025</v>
      </c>
      <c r="PX45" t="s">
        <v>448</v>
      </c>
      <c r="PY45">
        <v>1</v>
      </c>
      <c r="PZ45" t="s">
        <v>449</v>
      </c>
      <c r="QA45" t="s">
        <v>450</v>
      </c>
      <c r="QB45" t="s">
        <v>451</v>
      </c>
      <c r="QC45" t="s">
        <v>447</v>
      </c>
      <c r="QD45" t="s">
        <v>452</v>
      </c>
    </row>
    <row r="46" spans="5:446" x14ac:dyDescent="0.35">
      <c r="JQ46">
        <v>189.0627963</v>
      </c>
      <c r="JR46">
        <v>191.07128510000001</v>
      </c>
      <c r="JS46">
        <v>191.07119359999999</v>
      </c>
      <c r="JT46">
        <v>191.50638749999999</v>
      </c>
      <c r="JU46" t="s">
        <v>446</v>
      </c>
      <c r="JV46">
        <v>191.5049688</v>
      </c>
      <c r="JW46">
        <f>(JV46-JS46)*1000</f>
        <v>433.77520000001368</v>
      </c>
      <c r="PX46" t="s">
        <v>448</v>
      </c>
      <c r="PY46">
        <v>1</v>
      </c>
      <c r="PZ46" t="s">
        <v>449</v>
      </c>
      <c r="QA46" t="s">
        <v>450</v>
      </c>
      <c r="QB46" t="s">
        <v>451</v>
      </c>
      <c r="QC46" t="s">
        <v>447</v>
      </c>
      <c r="QD46" t="s">
        <v>452</v>
      </c>
    </row>
    <row r="47" spans="5:446" x14ac:dyDescent="0.35">
      <c r="JX47">
        <v>191.52045810000001</v>
      </c>
      <c r="JY47">
        <v>193.52115040000001</v>
      </c>
      <c r="JZ47">
        <v>193.5211784</v>
      </c>
      <c r="KA47">
        <v>193.8896598</v>
      </c>
      <c r="KB47" t="s">
        <v>446</v>
      </c>
      <c r="KC47">
        <v>193.88407269999999</v>
      </c>
      <c r="KD47">
        <f>(KC47-JZ47)*1000</f>
        <v>362.89429999999356</v>
      </c>
      <c r="PX47" t="s">
        <v>448</v>
      </c>
      <c r="PY47">
        <v>1</v>
      </c>
      <c r="PZ47" t="s">
        <v>449</v>
      </c>
      <c r="QA47" t="s">
        <v>450</v>
      </c>
      <c r="QB47" t="s">
        <v>451</v>
      </c>
      <c r="QC47" t="s">
        <v>447</v>
      </c>
      <c r="QD47" t="s">
        <v>452</v>
      </c>
    </row>
    <row r="48" spans="5:446" x14ac:dyDescent="0.35">
      <c r="KE48">
        <v>193.9111896</v>
      </c>
      <c r="KF48">
        <v>195.92126500000001</v>
      </c>
      <c r="KG48">
        <v>195.92104939999999</v>
      </c>
      <c r="KH48">
        <v>196.32231150000001</v>
      </c>
      <c r="KI48" t="s">
        <v>446</v>
      </c>
      <c r="KJ48">
        <v>196.30917769999999</v>
      </c>
      <c r="KK48">
        <f>(KJ48-KG48)*1000</f>
        <v>388.12830000000531</v>
      </c>
      <c r="PX48" t="s">
        <v>448</v>
      </c>
      <c r="PY48">
        <v>1</v>
      </c>
      <c r="PZ48" t="s">
        <v>449</v>
      </c>
      <c r="QA48" t="s">
        <v>450</v>
      </c>
      <c r="QB48" t="s">
        <v>451</v>
      </c>
      <c r="QC48" t="s">
        <v>447</v>
      </c>
      <c r="QD48" t="s">
        <v>452</v>
      </c>
    </row>
    <row r="49" spans="298:446" x14ac:dyDescent="0.35">
      <c r="KL49">
        <v>196.3417628</v>
      </c>
      <c r="KM49">
        <v>198.35449940000001</v>
      </c>
      <c r="KN49">
        <v>198.35445849999999</v>
      </c>
      <c r="KO49">
        <v>198.72243209999999</v>
      </c>
      <c r="KP49" t="s">
        <v>446</v>
      </c>
      <c r="KQ49">
        <v>198.71812650000001</v>
      </c>
      <c r="KR49">
        <f>(KQ49-KN49)*1000</f>
        <v>363.66800000001831</v>
      </c>
      <c r="PX49" t="s">
        <v>448</v>
      </c>
      <c r="PY49">
        <v>1</v>
      </c>
      <c r="PZ49" t="s">
        <v>449</v>
      </c>
      <c r="QA49" t="s">
        <v>450</v>
      </c>
      <c r="QB49" t="s">
        <v>451</v>
      </c>
      <c r="QC49" t="s">
        <v>447</v>
      </c>
      <c r="QD49" t="s">
        <v>452</v>
      </c>
    </row>
    <row r="50" spans="298:446" x14ac:dyDescent="0.35">
      <c r="KS50">
        <v>198.74180709999999</v>
      </c>
      <c r="KT50">
        <v>200.7544504</v>
      </c>
      <c r="KU50">
        <v>200.7543723</v>
      </c>
      <c r="KV50">
        <v>201.12225770000001</v>
      </c>
      <c r="KW50" t="s">
        <v>446</v>
      </c>
      <c r="KX50">
        <v>201.1133399</v>
      </c>
      <c r="KY50">
        <f>(KX50-KU50)*1000</f>
        <v>358.96759999999972</v>
      </c>
      <c r="PX50" t="s">
        <v>448</v>
      </c>
      <c r="PY50">
        <v>1</v>
      </c>
      <c r="PZ50" t="s">
        <v>449</v>
      </c>
      <c r="QA50" t="s">
        <v>450</v>
      </c>
      <c r="QB50" t="s">
        <v>451</v>
      </c>
      <c r="QC50" t="s">
        <v>447</v>
      </c>
      <c r="QD50" t="s">
        <v>452</v>
      </c>
    </row>
    <row r="51" spans="298:446" x14ac:dyDescent="0.35">
      <c r="KZ51">
        <v>201.14164919999999</v>
      </c>
      <c r="LA51">
        <v>203.15446270000001</v>
      </c>
      <c r="LB51">
        <v>203.15428979999999</v>
      </c>
      <c r="LC51">
        <v>203.47230999999999</v>
      </c>
      <c r="LD51" t="s">
        <v>446</v>
      </c>
      <c r="LE51">
        <v>203.46359129999999</v>
      </c>
      <c r="LF51">
        <f>(LE51-LB51)*1000</f>
        <v>309.30150000000367</v>
      </c>
      <c r="PX51" t="s">
        <v>448</v>
      </c>
      <c r="PY51">
        <v>1</v>
      </c>
      <c r="PZ51" t="s">
        <v>449</v>
      </c>
      <c r="QA51" t="s">
        <v>450</v>
      </c>
      <c r="QB51" t="s">
        <v>451</v>
      </c>
      <c r="QC51" t="s">
        <v>447</v>
      </c>
      <c r="QD51" t="s">
        <v>452</v>
      </c>
    </row>
    <row r="52" spans="298:446" x14ac:dyDescent="0.35">
      <c r="LG52">
        <v>203.49187929999999</v>
      </c>
      <c r="LH52">
        <v>205.50452240000001</v>
      </c>
      <c r="LI52">
        <v>205.5045174</v>
      </c>
      <c r="LJ52">
        <v>205.805532</v>
      </c>
      <c r="LK52" t="s">
        <v>446</v>
      </c>
      <c r="LL52">
        <v>205.7969813</v>
      </c>
      <c r="LM52">
        <f>(LL52-LI52)*1000</f>
        <v>292.46390000000133</v>
      </c>
      <c r="PX52" t="s">
        <v>448</v>
      </c>
      <c r="PY52">
        <v>1</v>
      </c>
      <c r="PZ52" t="s">
        <v>449</v>
      </c>
      <c r="QA52" t="s">
        <v>450</v>
      </c>
      <c r="QB52" t="s">
        <v>451</v>
      </c>
      <c r="QC52" t="s">
        <v>447</v>
      </c>
      <c r="QD52" t="s">
        <v>452</v>
      </c>
    </row>
    <row r="53" spans="298:446" x14ac:dyDescent="0.35">
      <c r="LN53">
        <v>205.82065539999999</v>
      </c>
      <c r="LO53">
        <v>207.821226</v>
      </c>
      <c r="LP53">
        <v>207.8210172</v>
      </c>
      <c r="LQ53">
        <v>208.27182450000001</v>
      </c>
      <c r="LR53" t="s">
        <v>446</v>
      </c>
      <c r="LS53">
        <v>208.2661153</v>
      </c>
      <c r="LT53">
        <f>(LS53-LP53)*1000</f>
        <v>445.09809999999561</v>
      </c>
      <c r="PX53" t="s">
        <v>448</v>
      </c>
      <c r="PY53">
        <v>1</v>
      </c>
      <c r="PZ53" t="s">
        <v>449</v>
      </c>
      <c r="QA53" t="s">
        <v>450</v>
      </c>
      <c r="QB53" t="s">
        <v>451</v>
      </c>
      <c r="QC53" t="s">
        <v>447</v>
      </c>
      <c r="QD53" t="s">
        <v>452</v>
      </c>
    </row>
    <row r="54" spans="298:446" x14ac:dyDescent="0.35">
      <c r="LU54">
        <v>208.29175599999999</v>
      </c>
      <c r="LV54">
        <v>210.30436259999999</v>
      </c>
      <c r="LW54">
        <v>210.30446939999999</v>
      </c>
      <c r="LX54">
        <v>210.63985199999999</v>
      </c>
      <c r="LY54" t="s">
        <v>446</v>
      </c>
      <c r="LZ54">
        <v>210.63770769999999</v>
      </c>
      <c r="MA54">
        <f>(LZ54-LW54)*1000</f>
        <v>333.23830000000498</v>
      </c>
      <c r="PX54" t="s">
        <v>448</v>
      </c>
      <c r="PY54">
        <v>1</v>
      </c>
      <c r="PZ54" t="s">
        <v>449</v>
      </c>
      <c r="QA54" t="s">
        <v>450</v>
      </c>
      <c r="QB54" t="s">
        <v>451</v>
      </c>
      <c r="QC54" t="s">
        <v>447</v>
      </c>
      <c r="QD54" t="s">
        <v>452</v>
      </c>
    </row>
    <row r="55" spans="298:446" x14ac:dyDescent="0.35">
      <c r="MB55">
        <v>210.66279109999999</v>
      </c>
      <c r="MC55">
        <v>212.67111109999999</v>
      </c>
      <c r="MD55">
        <v>212.67096860000001</v>
      </c>
      <c r="ME55">
        <v>213.0393085</v>
      </c>
      <c r="MF55" t="s">
        <v>446</v>
      </c>
      <c r="MG55">
        <v>213.0253663</v>
      </c>
      <c r="MH55">
        <f>(MG55-MD55)*1000</f>
        <v>354.39769999999271</v>
      </c>
      <c r="PX55" t="s">
        <v>448</v>
      </c>
      <c r="PY55">
        <v>1</v>
      </c>
      <c r="PZ55" t="s">
        <v>449</v>
      </c>
      <c r="QA55" t="s">
        <v>450</v>
      </c>
      <c r="QB55" t="s">
        <v>451</v>
      </c>
      <c r="QC55" t="s">
        <v>447</v>
      </c>
      <c r="QD55" t="s">
        <v>452</v>
      </c>
    </row>
    <row r="56" spans="298:446" x14ac:dyDescent="0.35">
      <c r="MI56">
        <v>213.06161030000001</v>
      </c>
      <c r="MJ56">
        <v>215.07100790000001</v>
      </c>
      <c r="MK56">
        <v>215.07085850000001</v>
      </c>
      <c r="ML56">
        <v>215.4050713</v>
      </c>
      <c r="MM56" t="s">
        <v>446</v>
      </c>
      <c r="MN56">
        <v>215.38857780000001</v>
      </c>
      <c r="MO56">
        <f>(MN56-MK56)*1000</f>
        <v>317.71929999999315</v>
      </c>
      <c r="PX56" t="s">
        <v>448</v>
      </c>
      <c r="PY56">
        <v>1</v>
      </c>
      <c r="PZ56" t="s">
        <v>449</v>
      </c>
      <c r="QA56" t="s">
        <v>450</v>
      </c>
      <c r="QB56" t="s">
        <v>451</v>
      </c>
      <c r="QC56" t="s">
        <v>447</v>
      </c>
      <c r="QD56" t="s">
        <v>452</v>
      </c>
    </row>
    <row r="57" spans="298:446" x14ac:dyDescent="0.35">
      <c r="MP57">
        <v>215.421582</v>
      </c>
      <c r="MQ57">
        <v>217.42107659999999</v>
      </c>
      <c r="MR57">
        <v>217.4208223</v>
      </c>
      <c r="MS57">
        <v>217.87262490000001</v>
      </c>
      <c r="MT57" t="s">
        <v>446</v>
      </c>
      <c r="MU57">
        <v>217.8555752</v>
      </c>
      <c r="MV57">
        <f>(MU57-MR57)*1000</f>
        <v>434.75290000000655</v>
      </c>
      <c r="PX57" t="s">
        <v>448</v>
      </c>
      <c r="PY57">
        <v>1</v>
      </c>
      <c r="PZ57" t="s">
        <v>449</v>
      </c>
      <c r="QA57" t="s">
        <v>450</v>
      </c>
      <c r="QB57" t="s">
        <v>451</v>
      </c>
      <c r="QC57" t="s">
        <v>447</v>
      </c>
      <c r="QD57" t="s">
        <v>452</v>
      </c>
    </row>
    <row r="58" spans="298:446" x14ac:dyDescent="0.35">
      <c r="MW58">
        <v>217.89202230000001</v>
      </c>
      <c r="MX58">
        <v>219.9043647</v>
      </c>
      <c r="MY58">
        <v>219.90432029999999</v>
      </c>
      <c r="MZ58">
        <v>220.2388943</v>
      </c>
      <c r="NA58" t="s">
        <v>446</v>
      </c>
      <c r="NB58">
        <v>220.2299592</v>
      </c>
      <c r="NC58">
        <f>(NB58-MY58)*1000</f>
        <v>325.63890000000129</v>
      </c>
      <c r="PX58" t="s">
        <v>448</v>
      </c>
      <c r="PY58">
        <v>1</v>
      </c>
      <c r="PZ58" t="s">
        <v>449</v>
      </c>
      <c r="QA58" t="s">
        <v>450</v>
      </c>
      <c r="QB58" t="s">
        <v>451</v>
      </c>
      <c r="QC58" t="s">
        <v>447</v>
      </c>
      <c r="QD58" t="s">
        <v>452</v>
      </c>
    </row>
    <row r="59" spans="298:446" x14ac:dyDescent="0.35">
      <c r="ND59">
        <v>220.25098969999999</v>
      </c>
      <c r="NE59">
        <v>222.25450169999999</v>
      </c>
      <c r="NF59">
        <v>222.2542928</v>
      </c>
      <c r="NG59">
        <v>222.60469459999999</v>
      </c>
      <c r="NH59" t="s">
        <v>446</v>
      </c>
      <c r="NI59">
        <v>222.58795430000001</v>
      </c>
      <c r="NJ59">
        <f>(NI59-NF59)*1000</f>
        <v>333.66150000000516</v>
      </c>
      <c r="PX59" t="s">
        <v>448</v>
      </c>
      <c r="PY59">
        <v>1</v>
      </c>
      <c r="PZ59" t="s">
        <v>449</v>
      </c>
      <c r="QA59" t="s">
        <v>450</v>
      </c>
      <c r="QB59" t="s">
        <v>451</v>
      </c>
      <c r="QC59" t="s">
        <v>447</v>
      </c>
      <c r="QD59" t="s">
        <v>452</v>
      </c>
    </row>
    <row r="60" spans="298:446" x14ac:dyDescent="0.35">
      <c r="NK60">
        <v>222.62181939999999</v>
      </c>
      <c r="NL60">
        <v>224.62087740000001</v>
      </c>
      <c r="NM60">
        <v>224.62076830000001</v>
      </c>
      <c r="NN60">
        <v>224.97239930000001</v>
      </c>
      <c r="NO60" t="s">
        <v>446</v>
      </c>
      <c r="NP60">
        <v>224.9574341</v>
      </c>
      <c r="NQ60">
        <f>(NP60-NM60)*1000</f>
        <v>336.66579999999158</v>
      </c>
      <c r="PX60" t="s">
        <v>448</v>
      </c>
      <c r="PY60">
        <v>1</v>
      </c>
      <c r="PZ60" t="s">
        <v>449</v>
      </c>
      <c r="QA60" t="s">
        <v>450</v>
      </c>
      <c r="QB60" t="s">
        <v>451</v>
      </c>
      <c r="QC60" t="s">
        <v>447</v>
      </c>
      <c r="QD60" t="s">
        <v>452</v>
      </c>
    </row>
    <row r="61" spans="298:446" x14ac:dyDescent="0.35">
      <c r="NR61">
        <v>224.99184399999999</v>
      </c>
      <c r="NS61">
        <v>227.00427350000001</v>
      </c>
      <c r="NT61">
        <v>227.00418629999999</v>
      </c>
      <c r="NU61">
        <v>227.38905020000001</v>
      </c>
      <c r="NV61" t="s">
        <v>446</v>
      </c>
      <c r="NW61">
        <v>227.37648949999999</v>
      </c>
      <c r="NX61">
        <f>(NW61-NT61)*1000</f>
        <v>372.30320000000461</v>
      </c>
      <c r="PX61" t="s">
        <v>448</v>
      </c>
      <c r="PY61">
        <v>1</v>
      </c>
      <c r="PZ61" t="s">
        <v>449</v>
      </c>
      <c r="QA61" t="s">
        <v>450</v>
      </c>
      <c r="QB61" t="s">
        <v>451</v>
      </c>
      <c r="QC61" t="s">
        <v>447</v>
      </c>
      <c r="QD61" t="s">
        <v>452</v>
      </c>
    </row>
    <row r="62" spans="298:446" x14ac:dyDescent="0.35">
      <c r="NY62">
        <v>227.4009485</v>
      </c>
      <c r="NZ62">
        <v>229.40441060000001</v>
      </c>
      <c r="OA62">
        <v>229.40413079999999</v>
      </c>
      <c r="OB62">
        <v>229.7222481</v>
      </c>
      <c r="OC62" t="s">
        <v>446</v>
      </c>
      <c r="OD62">
        <v>229.71445739999999</v>
      </c>
      <c r="OE62">
        <f>(OD62-OA62)*1000</f>
        <v>310.32659999999623</v>
      </c>
      <c r="PX62" t="s">
        <v>448</v>
      </c>
      <c r="PY62">
        <v>1</v>
      </c>
      <c r="PZ62" t="s">
        <v>449</v>
      </c>
      <c r="QA62" t="s">
        <v>450</v>
      </c>
      <c r="QB62" t="s">
        <v>451</v>
      </c>
      <c r="QC62" t="s">
        <v>447</v>
      </c>
      <c r="QD62" t="s">
        <v>452</v>
      </c>
    </row>
    <row r="63" spans="298:446" x14ac:dyDescent="0.35">
      <c r="OF63">
        <v>229.74237120000001</v>
      </c>
      <c r="OG63">
        <v>231.7542029</v>
      </c>
      <c r="OH63">
        <v>231.75417279999999</v>
      </c>
      <c r="OI63">
        <v>232.03870219999999</v>
      </c>
      <c r="OJ63" t="s">
        <v>446</v>
      </c>
      <c r="OK63">
        <v>232.02970020000001</v>
      </c>
      <c r="OL63">
        <f>(OK63-OH63)*1000</f>
        <v>275.52740000001563</v>
      </c>
      <c r="PX63" t="s">
        <v>448</v>
      </c>
      <c r="PY63">
        <v>1</v>
      </c>
      <c r="PZ63" t="s">
        <v>449</v>
      </c>
      <c r="QA63" t="s">
        <v>450</v>
      </c>
      <c r="QB63" t="s">
        <v>451</v>
      </c>
      <c r="QC63" t="s">
        <v>447</v>
      </c>
      <c r="QD63" t="s">
        <v>452</v>
      </c>
    </row>
    <row r="64" spans="298:446" x14ac:dyDescent="0.35">
      <c r="OM64">
        <v>232.06118889999999</v>
      </c>
      <c r="ON64">
        <v>234.0708425</v>
      </c>
      <c r="OO64">
        <v>234.0707845</v>
      </c>
      <c r="OP64">
        <v>234.37203400000001</v>
      </c>
      <c r="OQ64" t="s">
        <v>446</v>
      </c>
      <c r="OR64">
        <v>234.3647928</v>
      </c>
      <c r="OS64">
        <f>(OR64-OO64)*1000</f>
        <v>294.00830000000155</v>
      </c>
      <c r="PX64" t="s">
        <v>448</v>
      </c>
      <c r="PY64">
        <v>1</v>
      </c>
      <c r="PZ64" t="s">
        <v>449</v>
      </c>
      <c r="QA64" t="s">
        <v>450</v>
      </c>
      <c r="QB64" t="s">
        <v>451</v>
      </c>
      <c r="QC64" t="s">
        <v>447</v>
      </c>
      <c r="QD64" t="s">
        <v>452</v>
      </c>
    </row>
    <row r="65" spans="410:446" x14ac:dyDescent="0.35">
      <c r="OT65">
        <v>234.3917811</v>
      </c>
      <c r="OU65">
        <v>236.40419689999999</v>
      </c>
      <c r="OV65">
        <v>236.40397909999999</v>
      </c>
      <c r="OW65">
        <v>236.70566450000001</v>
      </c>
      <c r="OX65" t="s">
        <v>446</v>
      </c>
      <c r="OY65">
        <v>236.6994296</v>
      </c>
      <c r="OZ65">
        <f>(OY65-OV65)*1000</f>
        <v>295.45050000001538</v>
      </c>
      <c r="PX65" t="s">
        <v>448</v>
      </c>
      <c r="PY65">
        <v>1</v>
      </c>
      <c r="PZ65" t="s">
        <v>449</v>
      </c>
      <c r="QA65" t="s">
        <v>450</v>
      </c>
      <c r="QB65" t="s">
        <v>451</v>
      </c>
      <c r="QC65" t="s">
        <v>447</v>
      </c>
      <c r="QD65" t="s">
        <v>452</v>
      </c>
    </row>
    <row r="66" spans="410:446" x14ac:dyDescent="0.35">
      <c r="PA66">
        <v>236.73197479999999</v>
      </c>
      <c r="PB66">
        <v>238.7374246</v>
      </c>
      <c r="PC66">
        <v>238.7373762</v>
      </c>
      <c r="PD66">
        <v>239.05571219999999</v>
      </c>
      <c r="PE66" t="s">
        <v>446</v>
      </c>
      <c r="PF66">
        <v>239.05242699999999</v>
      </c>
      <c r="PG66">
        <f>(PF66-PC66)*1000</f>
        <v>315.05079999999452</v>
      </c>
      <c r="PX66" t="s">
        <v>448</v>
      </c>
      <c r="PY66">
        <v>1</v>
      </c>
      <c r="PZ66" t="s">
        <v>449</v>
      </c>
      <c r="QA66" t="s">
        <v>450</v>
      </c>
      <c r="QB66" t="s">
        <v>451</v>
      </c>
      <c r="QC66" t="s">
        <v>447</v>
      </c>
      <c r="QD66" t="s">
        <v>452</v>
      </c>
    </row>
    <row r="67" spans="410:446" x14ac:dyDescent="0.35">
      <c r="PH67">
        <v>239.07108120000001</v>
      </c>
      <c r="PI67">
        <v>241.07065940000001</v>
      </c>
      <c r="PJ67">
        <v>241.07076240000001</v>
      </c>
      <c r="PK67">
        <v>241.40536499999999</v>
      </c>
      <c r="PL67" t="s">
        <v>446</v>
      </c>
      <c r="PM67">
        <v>241.3983442</v>
      </c>
      <c r="PN67">
        <f>(PM67-PJ67)*1000</f>
        <v>327.58179999999015</v>
      </c>
      <c r="PX67" t="s">
        <v>448</v>
      </c>
      <c r="PY67">
        <v>1</v>
      </c>
      <c r="PZ67" t="s">
        <v>449</v>
      </c>
      <c r="QA67" t="s">
        <v>450</v>
      </c>
      <c r="QB67" t="s">
        <v>451</v>
      </c>
      <c r="QC67" t="s">
        <v>447</v>
      </c>
      <c r="QD67" t="s">
        <v>452</v>
      </c>
    </row>
    <row r="68" spans="410:446" x14ac:dyDescent="0.35">
      <c r="PO68">
        <v>241.4209477</v>
      </c>
      <c r="PP68">
        <v>243.42069499999999</v>
      </c>
      <c r="PQ68">
        <v>243.42068739999999</v>
      </c>
      <c r="PR68">
        <v>243.73928609999999</v>
      </c>
      <c r="PS68" t="s">
        <v>446</v>
      </c>
      <c r="PT68">
        <v>243.73081830000001</v>
      </c>
      <c r="PU68">
        <f>(PT68-PQ68)*1000</f>
        <v>310.13090000001853</v>
      </c>
      <c r="PX68" t="s">
        <v>448</v>
      </c>
      <c r="PY68">
        <v>1</v>
      </c>
      <c r="PZ68" t="s">
        <v>449</v>
      </c>
      <c r="QA68" t="s">
        <v>450</v>
      </c>
      <c r="QB68" t="s">
        <v>451</v>
      </c>
      <c r="QC68" t="s">
        <v>447</v>
      </c>
      <c r="QD68" t="s">
        <v>452</v>
      </c>
    </row>
    <row r="69" spans="410:446" x14ac:dyDescent="0.35">
      <c r="PV69">
        <v>243.7623705</v>
      </c>
      <c r="PW69">
        <v>243.76543140000001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areeb_test1_2024-06-20_11h04.57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Liu</dc:creator>
  <cp:lastModifiedBy>Eli Liu</cp:lastModifiedBy>
  <dcterms:created xsi:type="dcterms:W3CDTF">2024-07-21T20:27:30Z</dcterms:created>
  <dcterms:modified xsi:type="dcterms:W3CDTF">2024-07-21T20:39:39Z</dcterms:modified>
</cp:coreProperties>
</file>